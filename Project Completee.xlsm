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asmika\Desktop\DA\excel\Project\KPI---Sales-Executive-Performance-Dashboard--Excel-\"/>
    </mc:Choice>
  </mc:AlternateContent>
  <xr:revisionPtr revIDLastSave="0" documentId="13_ncr:1_{C5E6E84B-6F55-4D4E-88A0-7BA33E13E9A4}" xr6:coauthVersionLast="47" xr6:coauthVersionMax="47" xr10:uidLastSave="{00000000-0000-0000-0000-000000000000}"/>
  <bookViews>
    <workbookView xWindow="-108" yWindow="-108" windowWidth="23256" windowHeight="12456" activeTab="1" xr2:uid="{092DFC36-4295-4BEA-A6FB-DC93D6AE94B1}"/>
  </bookViews>
  <sheets>
    <sheet name="Raw Data" sheetId="2" r:id="rId1"/>
    <sheet name="Dashboard" sheetId="3" r:id="rId2"/>
  </sheets>
  <definedNames>
    <definedName name="_xlcn.WorksheetConnection_ProjectComplete.xlsmTable21" hidden="1">Table2[]</definedName>
    <definedName name="Slicer_Region">#N/A</definedName>
  </definedNames>
  <calcPr calcId="191029"/>
  <pivotCaches>
    <pivotCache cacheId="12" r:id="rId3"/>
    <pivotCache cacheId="23" r:id="rId4"/>
    <pivotCache cacheId="31"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Project Complete.xlsm!Table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3" l="1"/>
  <c r="P3" i="2"/>
  <c r="H2" i="3"/>
  <c r="P2"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K3" i="2"/>
  <c r="K4" i="2"/>
  <c r="M4" i="2" s="1"/>
  <c r="K5" i="2"/>
  <c r="M5" i="2" s="1"/>
  <c r="K6" i="2"/>
  <c r="L6" i="2" s="1"/>
  <c r="K7" i="2"/>
  <c r="K8" i="2"/>
  <c r="K9" i="2"/>
  <c r="K10" i="2"/>
  <c r="K11" i="2"/>
  <c r="K12" i="2"/>
  <c r="M12" i="2" s="1"/>
  <c r="K13" i="2"/>
  <c r="L13" i="2" s="1"/>
  <c r="K14" i="2"/>
  <c r="L14" i="2" s="1"/>
  <c r="K15" i="2"/>
  <c r="K16" i="2"/>
  <c r="M16" i="2" s="1"/>
  <c r="K17" i="2"/>
  <c r="L17" i="2" s="1"/>
  <c r="K18" i="2"/>
  <c r="L18" i="2" s="1"/>
  <c r="K19" i="2"/>
  <c r="K20" i="2"/>
  <c r="M20" i="2" s="1"/>
  <c r="N20" i="2" s="1" a="1"/>
  <c r="N20" i="2" s="1"/>
  <c r="K21" i="2"/>
  <c r="K22" i="2"/>
  <c r="L22" i="2" s="1"/>
  <c r="K23" i="2"/>
  <c r="K24" i="2"/>
  <c r="M24" i="2" s="1"/>
  <c r="K25" i="2"/>
  <c r="L25" i="2" s="1"/>
  <c r="K26" i="2"/>
  <c r="L26" i="2" s="1"/>
  <c r="K27" i="2"/>
  <c r="K28" i="2"/>
  <c r="M28" i="2" s="1"/>
  <c r="K29" i="2"/>
  <c r="L29" i="2" s="1"/>
  <c r="K30" i="2"/>
  <c r="L30" i="2" s="1"/>
  <c r="K31" i="2"/>
  <c r="K32" i="2"/>
  <c r="M32" i="2" s="1"/>
  <c r="K33" i="2"/>
  <c r="K34" i="2"/>
  <c r="L34" i="2" s="1"/>
  <c r="K35" i="2"/>
  <c r="K36" i="2"/>
  <c r="M36" i="2" s="1"/>
  <c r="N36" i="2" s="1" a="1"/>
  <c r="N36" i="2" s="1"/>
  <c r="K37" i="2"/>
  <c r="M37" i="2" s="1"/>
  <c r="K38" i="2"/>
  <c r="L38" i="2" s="1"/>
  <c r="K39" i="2"/>
  <c r="K40" i="2"/>
  <c r="M40" i="2" s="1"/>
  <c r="K41" i="2"/>
  <c r="M41" i="2" s="1"/>
  <c r="K42" i="2"/>
  <c r="L42" i="2" s="1"/>
  <c r="K43" i="2"/>
  <c r="K44" i="2"/>
  <c r="M44" i="2" s="1"/>
  <c r="N44" i="2" s="1" a="1"/>
  <c r="N44" i="2" s="1"/>
  <c r="K45" i="2"/>
  <c r="K46" i="2"/>
  <c r="K47" i="2"/>
  <c r="K48" i="2"/>
  <c r="M48" i="2" s="1"/>
  <c r="K49" i="2"/>
  <c r="L49" i="2" s="1"/>
  <c r="K50" i="2"/>
  <c r="L50" i="2" s="1"/>
  <c r="K51" i="2"/>
  <c r="K52" i="2"/>
  <c r="M52" i="2" s="1"/>
  <c r="K53" i="2"/>
  <c r="L53" i="2" s="1"/>
  <c r="K54" i="2"/>
  <c r="L54" i="2" s="1"/>
  <c r="K55" i="2"/>
  <c r="K56" i="2"/>
  <c r="K57" i="2"/>
  <c r="K58" i="2"/>
  <c r="K59" i="2"/>
  <c r="M59" i="2" s="1"/>
  <c r="K60" i="2"/>
  <c r="M60" i="2" s="1"/>
  <c r="N60" i="2" s="1" a="1"/>
  <c r="N60" i="2" s="1"/>
  <c r="K61" i="2"/>
  <c r="K62" i="2"/>
  <c r="L62" i="2" s="1"/>
  <c r="K63" i="2"/>
  <c r="K64" i="2"/>
  <c r="M64" i="2" s="1"/>
  <c r="K65" i="2"/>
  <c r="L65" i="2" s="1"/>
  <c r="K66" i="2"/>
  <c r="L66" i="2" s="1"/>
  <c r="K67" i="2"/>
  <c r="K68" i="2"/>
  <c r="M68" i="2" s="1"/>
  <c r="K69" i="2"/>
  <c r="K70" i="2"/>
  <c r="K71" i="2"/>
  <c r="K72" i="2"/>
  <c r="M72" i="2" s="1"/>
  <c r="K73" i="2"/>
  <c r="K74" i="2"/>
  <c r="L74" i="2" s="1"/>
  <c r="K75" i="2"/>
  <c r="K76" i="2"/>
  <c r="M76" i="2" s="1"/>
  <c r="K77" i="2"/>
  <c r="M77" i="2" s="1"/>
  <c r="K78" i="2"/>
  <c r="L78" i="2" s="1"/>
  <c r="K79" i="2"/>
  <c r="K80" i="2"/>
  <c r="M80" i="2" s="1"/>
  <c r="K81" i="2"/>
  <c r="M81" i="2" s="1"/>
  <c r="K82" i="2"/>
  <c r="L82" i="2" s="1"/>
  <c r="K83" i="2"/>
  <c r="M83" i="2" s="1"/>
  <c r="K84" i="2"/>
  <c r="M84" i="2" s="1"/>
  <c r="N84" i="2" s="1" a="1"/>
  <c r="N84" i="2" s="1"/>
  <c r="K85" i="2"/>
  <c r="M85" i="2" s="1"/>
  <c r="K86" i="2"/>
  <c r="L86" i="2" s="1"/>
  <c r="K87" i="2"/>
  <c r="M87" i="2" s="1"/>
  <c r="K88" i="2"/>
  <c r="M88" i="2" s="1"/>
  <c r="K89" i="2"/>
  <c r="L89" i="2" s="1"/>
  <c r="K90" i="2"/>
  <c r="L90" i="2" s="1"/>
  <c r="K91" i="2"/>
  <c r="K92" i="2"/>
  <c r="M92" i="2" s="1"/>
  <c r="N92" i="2" s="1" a="1"/>
  <c r="N92" i="2" s="1"/>
  <c r="K93" i="2"/>
  <c r="K94" i="2"/>
  <c r="K95" i="2"/>
  <c r="M95" i="2" s="1"/>
  <c r="K96" i="2"/>
  <c r="M96" i="2" s="1"/>
  <c r="K97" i="2"/>
  <c r="L97" i="2" s="1"/>
  <c r="K98" i="2"/>
  <c r="L98" i="2" s="1"/>
  <c r="K99" i="2"/>
  <c r="M99" i="2" s="1"/>
  <c r="N99" i="2" s="1" a="1"/>
  <c r="N99" i="2" s="1"/>
  <c r="K100" i="2"/>
  <c r="M100" i="2" s="1"/>
  <c r="K101" i="2"/>
  <c r="L101" i="2" s="1"/>
  <c r="K102" i="2"/>
  <c r="L102" i="2" s="1"/>
  <c r="K103" i="2"/>
  <c r="K104" i="2"/>
  <c r="M104" i="2" s="1"/>
  <c r="K105" i="2"/>
  <c r="M105" i="2" s="1"/>
  <c r="K106" i="2"/>
  <c r="L106" i="2" s="1"/>
  <c r="K107" i="2"/>
  <c r="M107" i="2" s="1"/>
  <c r="K108" i="2"/>
  <c r="M108" i="2" s="1"/>
  <c r="K109" i="2"/>
  <c r="M109" i="2" s="1"/>
  <c r="K110" i="2"/>
  <c r="L110" i="2" s="1"/>
  <c r="K111" i="2"/>
  <c r="M111" i="2" s="1"/>
  <c r="K112" i="2"/>
  <c r="M112" i="2" s="1"/>
  <c r="K113" i="2"/>
  <c r="K114" i="2"/>
  <c r="L114" i="2" s="1"/>
  <c r="K115" i="2"/>
  <c r="K116" i="2"/>
  <c r="M116" i="2" s="1"/>
  <c r="N116" i="2" s="1" a="1"/>
  <c r="N116" i="2" s="1"/>
  <c r="K117" i="2"/>
  <c r="L117" i="2" s="1"/>
  <c r="K118" i="2"/>
  <c r="K119" i="2"/>
  <c r="M119" i="2" s="1"/>
  <c r="N119" i="2" s="1" a="1"/>
  <c r="N119" i="2" s="1"/>
  <c r="K120" i="2"/>
  <c r="M120" i="2" s="1"/>
  <c r="K121" i="2"/>
  <c r="L121" i="2" s="1"/>
  <c r="K122" i="2"/>
  <c r="L122" i="2" s="1"/>
  <c r="K123" i="2"/>
  <c r="M123" i="2" s="1"/>
  <c r="K124" i="2"/>
  <c r="M124" i="2" s="1"/>
  <c r="K125" i="2"/>
  <c r="L125" i="2" s="1"/>
  <c r="K126" i="2"/>
  <c r="L126" i="2" s="1"/>
  <c r="K127" i="2"/>
  <c r="K128" i="2"/>
  <c r="M128" i="2" s="1"/>
  <c r="K129" i="2"/>
  <c r="M129" i="2" s="1"/>
  <c r="K130" i="2"/>
  <c r="K131" i="2"/>
  <c r="M131" i="2" s="1"/>
  <c r="K132" i="2"/>
  <c r="M132" i="2" s="1"/>
  <c r="K133" i="2"/>
  <c r="L133" i="2" s="1"/>
  <c r="K134" i="2"/>
  <c r="L134" i="2" s="1"/>
  <c r="K135" i="2"/>
  <c r="M135" i="2" s="1"/>
  <c r="K136" i="2"/>
  <c r="M136" i="2" s="1"/>
  <c r="K137" i="2"/>
  <c r="L137" i="2" s="1"/>
  <c r="K138" i="2"/>
  <c r="L138" i="2" s="1"/>
  <c r="K139" i="2"/>
  <c r="K140" i="2"/>
  <c r="K141" i="2"/>
  <c r="K142" i="2"/>
  <c r="K2" i="2"/>
  <c r="M2" i="2" s="1"/>
  <c r="F2" i="3"/>
  <c r="D2" i="3"/>
  <c r="M8" i="2" l="1"/>
  <c r="L8" i="2"/>
  <c r="M9" i="2"/>
  <c r="L9" i="2"/>
  <c r="M21" i="2"/>
  <c r="L21" i="2"/>
  <c r="M33" i="2"/>
  <c r="L33" i="2"/>
  <c r="M45" i="2"/>
  <c r="L45" i="2"/>
  <c r="M57" i="2"/>
  <c r="L57" i="2"/>
  <c r="L58" i="2"/>
  <c r="M58" i="2"/>
  <c r="M69" i="2"/>
  <c r="L69" i="2"/>
  <c r="L70" i="2"/>
  <c r="M70" i="2"/>
  <c r="M71" i="2"/>
  <c r="L71" i="2"/>
  <c r="M73" i="2"/>
  <c r="L73" i="2"/>
  <c r="M113" i="2"/>
  <c r="L113" i="2"/>
  <c r="L130" i="2"/>
  <c r="M130" i="2"/>
  <c r="M140" i="2"/>
  <c r="N140" i="2" s="1" a="1"/>
  <c r="N140" i="2" s="1"/>
  <c r="L140" i="2"/>
  <c r="M141" i="2"/>
  <c r="L141" i="2"/>
  <c r="L142" i="2"/>
  <c r="M142" i="2"/>
  <c r="N142" i="2" s="1" a="1"/>
  <c r="N142" i="2" s="1"/>
  <c r="L10" i="2"/>
  <c r="M10" i="2"/>
  <c r="L46" i="2"/>
  <c r="M46" i="2"/>
  <c r="N46" i="2" s="1" a="1"/>
  <c r="N46" i="2" s="1"/>
  <c r="M56" i="2"/>
  <c r="L56" i="2"/>
  <c r="L61" i="2"/>
  <c r="M61" i="2"/>
  <c r="L93" i="2"/>
  <c r="M93" i="2"/>
  <c r="N93" i="2" s="1" a="1"/>
  <c r="N93" i="2" s="1"/>
  <c r="L94" i="2"/>
  <c r="M94" i="2"/>
  <c r="N94" i="2" s="1" a="1"/>
  <c r="N94" i="2" s="1"/>
  <c r="L118" i="2"/>
  <c r="M118" i="2"/>
  <c r="N118" i="2" s="1" a="1"/>
  <c r="N118" i="2" s="1"/>
  <c r="L112" i="2"/>
  <c r="L109" i="2"/>
  <c r="L44" i="2"/>
  <c r="M29" i="2"/>
  <c r="N29" i="2" s="1" a="1"/>
  <c r="N29" i="2" s="1"/>
  <c r="L108" i="2"/>
  <c r="L37" i="2"/>
  <c r="M25" i="2"/>
  <c r="M22" i="2"/>
  <c r="N22" i="2" s="1" a="1"/>
  <c r="N22" i="2" s="1"/>
  <c r="L107" i="2"/>
  <c r="M106" i="2"/>
  <c r="L105" i="2"/>
  <c r="L32" i="2"/>
  <c r="M97" i="2"/>
  <c r="N97" i="2" s="1" a="1"/>
  <c r="N97" i="2" s="1"/>
  <c r="L104" i="2"/>
  <c r="L85" i="2"/>
  <c r="L20" i="2"/>
  <c r="L77" i="2"/>
  <c r="L76" i="2"/>
  <c r="L41" i="2"/>
  <c r="L5" i="2"/>
  <c r="M65" i="2"/>
  <c r="N65" i="2" s="1" a="1"/>
  <c r="N65" i="2" s="1"/>
  <c r="M101" i="2"/>
  <c r="N101" i="2" s="1" a="1"/>
  <c r="N101" i="2" s="1"/>
  <c r="M17" i="2"/>
  <c r="N17" i="2" s="1" a="1"/>
  <c r="N17" i="2" s="1"/>
  <c r="M137" i="2"/>
  <c r="M53" i="2"/>
  <c r="N53" i="2" s="1" a="1"/>
  <c r="N53" i="2" s="1"/>
  <c r="M13" i="2"/>
  <c r="M133" i="2"/>
  <c r="N133" i="2" s="1" a="1"/>
  <c r="N133" i="2" s="1"/>
  <c r="M49" i="2"/>
  <c r="N49" i="2" s="1" a="1"/>
  <c r="N49" i="2" s="1"/>
  <c r="M89" i="2"/>
  <c r="N89" i="2" s="1" a="1"/>
  <c r="N89" i="2" s="1"/>
  <c r="L131" i="2"/>
  <c r="M125" i="2"/>
  <c r="L129" i="2"/>
  <c r="L95" i="2"/>
  <c r="M121" i="2"/>
  <c r="N121" i="2" s="1" a="1"/>
  <c r="N121" i="2" s="1"/>
  <c r="M82" i="2"/>
  <c r="N82" i="2" s="1" a="1"/>
  <c r="N82" i="2" s="1"/>
  <c r="M117" i="2"/>
  <c r="M34" i="2"/>
  <c r="N34" i="2" s="1" a="1"/>
  <c r="N34" i="2" s="1"/>
  <c r="N129" i="2" a="1"/>
  <c r="N129" i="2" s="1"/>
  <c r="N105" i="2" a="1"/>
  <c r="N105" i="2" s="1"/>
  <c r="N81" i="2" a="1"/>
  <c r="N81" i="2" s="1"/>
  <c r="N57" i="2" a="1"/>
  <c r="N57" i="2" s="1"/>
  <c r="N33" i="2" a="1"/>
  <c r="N33" i="2" s="1"/>
  <c r="M63" i="2"/>
  <c r="L63" i="2"/>
  <c r="N125" i="2" a="1"/>
  <c r="N125" i="2" s="1"/>
  <c r="N77" i="2" a="1"/>
  <c r="N77" i="2" s="1"/>
  <c r="N136" i="2" a="1"/>
  <c r="N136" i="2" s="1"/>
  <c r="N112" i="2" a="1"/>
  <c r="N112" i="2" s="1"/>
  <c r="N88" i="2" a="1"/>
  <c r="N88" i="2" s="1"/>
  <c r="N64" i="2" a="1"/>
  <c r="N64" i="2" s="1"/>
  <c r="N40" i="2" a="1"/>
  <c r="N40" i="2" s="1"/>
  <c r="N16" i="2" a="1"/>
  <c r="N16" i="2" s="1"/>
  <c r="N4" i="2" a="1"/>
  <c r="N4" i="2" s="1"/>
  <c r="L128" i="2"/>
  <c r="L92" i="2"/>
  <c r="L72" i="2"/>
  <c r="L52" i="2"/>
  <c r="L28" i="2"/>
  <c r="L4" i="2"/>
  <c r="N73" i="2" a="1"/>
  <c r="N73" i="2" s="1"/>
  <c r="N25" i="2" a="1"/>
  <c r="N25" i="2" s="1"/>
  <c r="N123" i="2" a="1"/>
  <c r="N123" i="2" s="1"/>
  <c r="L2" i="2"/>
  <c r="L124" i="2"/>
  <c r="L88" i="2"/>
  <c r="L48" i="2"/>
  <c r="L24" i="2"/>
  <c r="N141" i="2" a="1"/>
  <c r="N141" i="2" s="1"/>
  <c r="N117" i="2" a="1"/>
  <c r="N117" i="2" s="1"/>
  <c r="N69" i="2" a="1"/>
  <c r="N69" i="2" s="1"/>
  <c r="N45" i="2" a="1"/>
  <c r="N45" i="2" s="1"/>
  <c r="N21" i="2" a="1"/>
  <c r="N21" i="2" s="1"/>
  <c r="N100" i="2" a="1"/>
  <c r="N100" i="2" s="1"/>
  <c r="L123" i="2"/>
  <c r="L87" i="2"/>
  <c r="L68" i="2"/>
  <c r="M138" i="2"/>
  <c r="M114" i="2"/>
  <c r="M90" i="2"/>
  <c r="M66" i="2"/>
  <c r="M42" i="2"/>
  <c r="M18" i="2"/>
  <c r="N83" i="2" a="1"/>
  <c r="N83" i="2" s="1"/>
  <c r="N107" i="2" a="1"/>
  <c r="N107" i="2" s="1"/>
  <c r="N87" i="2" a="1"/>
  <c r="N87" i="2" s="1"/>
  <c r="M27" i="2"/>
  <c r="L27" i="2"/>
  <c r="N120" i="2" a="1"/>
  <c r="N120" i="2" s="1"/>
  <c r="N96" i="2" a="1"/>
  <c r="N96" i="2" s="1"/>
  <c r="N48" i="2" a="1"/>
  <c r="N48" i="2" s="1"/>
  <c r="N24" i="2" a="1"/>
  <c r="N24" i="2" s="1"/>
  <c r="N59" i="2" a="1"/>
  <c r="N59" i="2" s="1"/>
  <c r="L47" i="2"/>
  <c r="M47" i="2"/>
  <c r="L35" i="2"/>
  <c r="M35" i="2"/>
  <c r="L23" i="2"/>
  <c r="M23" i="2"/>
  <c r="L11" i="2"/>
  <c r="M11" i="2"/>
  <c r="L120" i="2"/>
  <c r="L84" i="2"/>
  <c r="L64" i="2"/>
  <c r="M134" i="2"/>
  <c r="M110" i="2"/>
  <c r="M86" i="2"/>
  <c r="M62" i="2"/>
  <c r="M38" i="2"/>
  <c r="M14" i="2"/>
  <c r="N95" i="2" a="1"/>
  <c r="N95" i="2" s="1"/>
  <c r="N76" i="2" a="1"/>
  <c r="N76" i="2" s="1"/>
  <c r="L136" i="2"/>
  <c r="L119" i="2"/>
  <c r="L100" i="2"/>
  <c r="L83" i="2"/>
  <c r="L40" i="2"/>
  <c r="L16" i="2"/>
  <c r="N109" i="2" a="1"/>
  <c r="N109" i="2" s="1"/>
  <c r="N85" i="2" a="1"/>
  <c r="N85" i="2" s="1"/>
  <c r="N61" i="2" a="1"/>
  <c r="N61" i="2" s="1"/>
  <c r="N37" i="2" a="1"/>
  <c r="N37" i="2" s="1"/>
  <c r="N13" i="2" a="1"/>
  <c r="N13" i="2" s="1"/>
  <c r="N132" i="2" a="1"/>
  <c r="N132" i="2" s="1"/>
  <c r="L135" i="2"/>
  <c r="L99" i="2"/>
  <c r="L81" i="2"/>
  <c r="L60" i="2"/>
  <c r="N130" i="2" a="1"/>
  <c r="N130" i="2" s="1"/>
  <c r="N106" i="2" a="1"/>
  <c r="N106" i="2" s="1"/>
  <c r="N58" i="2" a="1"/>
  <c r="N58" i="2" s="1"/>
  <c r="N10" i="2" a="1"/>
  <c r="N10" i="2" s="1"/>
  <c r="N135" i="2" a="1"/>
  <c r="N135" i="2" s="1"/>
  <c r="N111" i="2" a="1"/>
  <c r="N111" i="2" s="1"/>
  <c r="M75" i="2"/>
  <c r="L75" i="2"/>
  <c r="M39" i="2"/>
  <c r="L39" i="2"/>
  <c r="M15" i="2"/>
  <c r="L15" i="2"/>
  <c r="N113" i="2" a="1"/>
  <c r="N113" i="2" s="1"/>
  <c r="N8" i="2" a="1"/>
  <c r="N8" i="2" s="1"/>
  <c r="L116" i="2"/>
  <c r="L80" i="2"/>
  <c r="L59" i="2"/>
  <c r="L36" i="2"/>
  <c r="L12" i="2"/>
  <c r="N9" i="2" a="1"/>
  <c r="N9" i="2" s="1"/>
  <c r="N71" i="2" a="1"/>
  <c r="N71" i="2" s="1"/>
  <c r="N52" i="2" a="1"/>
  <c r="N52" i="2" s="1"/>
  <c r="M51" i="2"/>
  <c r="L51" i="2"/>
  <c r="M3" i="2"/>
  <c r="L3" i="2"/>
  <c r="N72" i="2" a="1"/>
  <c r="N72" i="2" s="1"/>
  <c r="N137" i="2" a="1"/>
  <c r="N137" i="2" s="1"/>
  <c r="N131" i="2" a="1"/>
  <c r="N131" i="2" s="1"/>
  <c r="N128" i="2" a="1"/>
  <c r="N128" i="2" s="1"/>
  <c r="N104" i="2" a="1"/>
  <c r="N104" i="2" s="1"/>
  <c r="N80" i="2" a="1"/>
  <c r="N80" i="2" s="1"/>
  <c r="N56" i="2" a="1"/>
  <c r="N56" i="2" s="1"/>
  <c r="N32" i="2" a="1"/>
  <c r="N32" i="2" s="1"/>
  <c r="L139" i="2"/>
  <c r="M139" i="2"/>
  <c r="L127" i="2"/>
  <c r="M127" i="2"/>
  <c r="L115" i="2"/>
  <c r="M115" i="2"/>
  <c r="L103" i="2"/>
  <c r="M103" i="2"/>
  <c r="L91" i="2"/>
  <c r="M91" i="2"/>
  <c r="L79" i="2"/>
  <c r="M79" i="2"/>
  <c r="L67" i="2"/>
  <c r="M67" i="2"/>
  <c r="L55" i="2"/>
  <c r="M55" i="2"/>
  <c r="L43" i="2"/>
  <c r="M43" i="2"/>
  <c r="L31" i="2"/>
  <c r="M31" i="2"/>
  <c r="L19" i="2"/>
  <c r="M19" i="2"/>
  <c r="L7" i="2"/>
  <c r="M7" i="2"/>
  <c r="L132" i="2"/>
  <c r="L96" i="2"/>
  <c r="M126" i="2"/>
  <c r="M102" i="2"/>
  <c r="M78" i="2"/>
  <c r="M54" i="2"/>
  <c r="M30" i="2"/>
  <c r="M6" i="2"/>
  <c r="N108" i="2" a="1"/>
  <c r="N108" i="2" s="1"/>
  <c r="N70" i="2" a="1"/>
  <c r="N70" i="2" s="1"/>
  <c r="N68" i="2" a="1"/>
  <c r="N68" i="2" s="1"/>
  <c r="N12" i="2" a="1"/>
  <c r="N12" i="2" s="1"/>
  <c r="L111" i="2"/>
  <c r="M122" i="2"/>
  <c r="M98" i="2"/>
  <c r="M74" i="2"/>
  <c r="M50" i="2"/>
  <c r="M26" i="2"/>
  <c r="N2" i="2" a="1"/>
  <c r="N2" i="2" s="1"/>
  <c r="N124" i="2" a="1"/>
  <c r="N124" i="2" s="1"/>
  <c r="N28" i="2" a="1"/>
  <c r="N28" i="2" s="1"/>
  <c r="N5" i="2" a="1"/>
  <c r="N5" i="2" s="1"/>
  <c r="N41" i="2" a="1"/>
  <c r="N41" i="2" s="1"/>
  <c r="O94" i="2" l="1"/>
  <c r="O109" i="2"/>
  <c r="O48" i="2"/>
  <c r="O131" i="2"/>
  <c r="O46" i="2"/>
  <c r="O125" i="2"/>
  <c r="O124" i="2"/>
  <c r="O5" i="2"/>
  <c r="O87" i="2"/>
  <c r="O140" i="2"/>
  <c r="O114" i="2"/>
  <c r="N114" i="2" a="1"/>
  <c r="N114" i="2" s="1"/>
  <c r="O93" i="2"/>
  <c r="O40" i="2"/>
  <c r="N26" i="2" a="1"/>
  <c r="N26" i="2" s="1"/>
  <c r="O26" i="2"/>
  <c r="O103" i="2"/>
  <c r="N103" i="2" a="1"/>
  <c r="N103" i="2" s="1"/>
  <c r="O96" i="2"/>
  <c r="O33" i="2"/>
  <c r="N50" i="2" a="1"/>
  <c r="N50" i="2" s="1"/>
  <c r="O50" i="2"/>
  <c r="O13" i="2"/>
  <c r="O59" i="2"/>
  <c r="O65" i="2"/>
  <c r="O57" i="2"/>
  <c r="O28" i="2"/>
  <c r="O19" i="2"/>
  <c r="N19" i="2" a="1"/>
  <c r="N19" i="2" s="1"/>
  <c r="O15" i="2"/>
  <c r="N15" i="2" a="1"/>
  <c r="N15" i="2" s="1"/>
  <c r="O62" i="2"/>
  <c r="N62" i="2" a="1"/>
  <c r="N62" i="2" s="1"/>
  <c r="O60" i="2"/>
  <c r="N6" i="2" a="1"/>
  <c r="N6" i="2" s="1"/>
  <c r="O6" i="2"/>
  <c r="O31" i="2"/>
  <c r="N31" i="2" a="1"/>
  <c r="N31" i="2" s="1"/>
  <c r="O41" i="2"/>
  <c r="O58" i="2"/>
  <c r="O30" i="2"/>
  <c r="N30" i="2" a="1"/>
  <c r="N30" i="2" s="1"/>
  <c r="O51" i="2"/>
  <c r="N51" i="2" a="1"/>
  <c r="N51" i="2" s="1"/>
  <c r="O134" i="2"/>
  <c r="N134" i="2" a="1"/>
  <c r="N134" i="2" s="1"/>
  <c r="O83" i="2"/>
  <c r="O25" i="2"/>
  <c r="O54" i="2"/>
  <c r="N54" i="2" a="1"/>
  <c r="N54" i="2" s="1"/>
  <c r="O115" i="2"/>
  <c r="N115" i="2" a="1"/>
  <c r="N115" i="2" s="1"/>
  <c r="O99" i="2"/>
  <c r="O120" i="2"/>
  <c r="N98" i="2" a="1"/>
  <c r="N98" i="2" s="1"/>
  <c r="O98" i="2"/>
  <c r="O78" i="2"/>
  <c r="N78" i="2" a="1"/>
  <c r="N78" i="2" s="1"/>
  <c r="O116" i="2"/>
  <c r="O95" i="2"/>
  <c r="O141" i="2"/>
  <c r="O76" i="2"/>
  <c r="O77" i="2"/>
  <c r="N122" i="2" a="1"/>
  <c r="N122" i="2" s="1"/>
  <c r="O122" i="2"/>
  <c r="O102" i="2"/>
  <c r="N102" i="2" a="1"/>
  <c r="N102" i="2" s="1"/>
  <c r="O55" i="2"/>
  <c r="N55" i="2" a="1"/>
  <c r="N55" i="2" s="1"/>
  <c r="O127" i="2"/>
  <c r="N127" i="2" a="1"/>
  <c r="N127" i="2" s="1"/>
  <c r="O92" i="2"/>
  <c r="O137" i="2"/>
  <c r="O111" i="2"/>
  <c r="O106" i="2"/>
  <c r="O2" i="2"/>
  <c r="O132" i="2"/>
  <c r="O17" i="2"/>
  <c r="O21" i="2"/>
  <c r="O81" i="2"/>
  <c r="O121" i="2"/>
  <c r="O44" i="2"/>
  <c r="O133" i="2"/>
  <c r="O86" i="2"/>
  <c r="N86" i="2" a="1"/>
  <c r="N86" i="2" s="1"/>
  <c r="O47" i="2"/>
  <c r="N47" i="2" a="1"/>
  <c r="N47" i="2" s="1"/>
  <c r="O138" i="2"/>
  <c r="N138" i="2" a="1"/>
  <c r="N138" i="2" s="1"/>
  <c r="O70" i="2"/>
  <c r="O136" i="2"/>
  <c r="O8" i="2"/>
  <c r="O39" i="2"/>
  <c r="N39" i="2" a="1"/>
  <c r="N39" i="2" s="1"/>
  <c r="O110" i="2"/>
  <c r="N110" i="2" a="1"/>
  <c r="N110" i="2" s="1"/>
  <c r="O119" i="2"/>
  <c r="O52" i="2"/>
  <c r="O68" i="2"/>
  <c r="O117" i="2"/>
  <c r="O53" i="2"/>
  <c r="N74" i="2" a="1"/>
  <c r="N74" i="2" s="1"/>
  <c r="O74" i="2"/>
  <c r="O43" i="2"/>
  <c r="N43" i="2" a="1"/>
  <c r="N43" i="2" s="1"/>
  <c r="O80" i="2"/>
  <c r="O20" i="2"/>
  <c r="O75" i="2"/>
  <c r="N75" i="2" a="1"/>
  <c r="N75" i="2" s="1"/>
  <c r="O82" i="2"/>
  <c r="O64" i="2"/>
  <c r="O37" i="2"/>
  <c r="O71" i="2"/>
  <c r="O49" i="2"/>
  <c r="O126" i="2"/>
  <c r="N126" i="2" a="1"/>
  <c r="N126" i="2" s="1"/>
  <c r="O104" i="2"/>
  <c r="O12" i="2"/>
  <c r="O113" i="2"/>
  <c r="O61" i="2"/>
  <c r="O11" i="2"/>
  <c r="N11" i="2" a="1"/>
  <c r="N11" i="2" s="1"/>
  <c r="O142" i="2"/>
  <c r="O73" i="2"/>
  <c r="O88" i="2"/>
  <c r="O101" i="2"/>
  <c r="O72" i="2"/>
  <c r="O9" i="2"/>
  <c r="O36" i="2"/>
  <c r="O135" i="2"/>
  <c r="O130" i="2"/>
  <c r="O89" i="2"/>
  <c r="O18" i="2"/>
  <c r="N18" i="2" a="1"/>
  <c r="N18" i="2" s="1"/>
  <c r="O4" i="2"/>
  <c r="O100" i="2"/>
  <c r="O105" i="2"/>
  <c r="O38" i="2"/>
  <c r="N38" i="2" a="1"/>
  <c r="N38" i="2" s="1"/>
  <c r="O90" i="2"/>
  <c r="N90" i="2" a="1"/>
  <c r="N90" i="2" s="1"/>
  <c r="O34" i="2"/>
  <c r="O107" i="2"/>
  <c r="O29" i="2"/>
  <c r="O67" i="2"/>
  <c r="N67" i="2" a="1"/>
  <c r="N67" i="2" s="1"/>
  <c r="O84" i="2"/>
  <c r="O23" i="2"/>
  <c r="N23" i="2" a="1"/>
  <c r="N23" i="2" s="1"/>
  <c r="O24" i="2"/>
  <c r="O42" i="2"/>
  <c r="N42" i="2" a="1"/>
  <c r="N42" i="2" s="1"/>
  <c r="O45" i="2"/>
  <c r="O97" i="2"/>
  <c r="N35" i="2" a="1"/>
  <c r="N35" i="2" s="1"/>
  <c r="O35" i="2"/>
  <c r="O69" i="2"/>
  <c r="O22" i="2"/>
  <c r="O63" i="2"/>
  <c r="N63" i="2" a="1"/>
  <c r="N63" i="2" s="1"/>
  <c r="O91" i="2"/>
  <c r="N91" i="2" a="1"/>
  <c r="N91" i="2" s="1"/>
  <c r="O123" i="2"/>
  <c r="O56" i="2"/>
  <c r="O3" i="2"/>
  <c r="N3" i="2" a="1"/>
  <c r="N3" i="2" s="1"/>
  <c r="O139" i="2"/>
  <c r="N139" i="2" a="1"/>
  <c r="N139" i="2" s="1"/>
  <c r="O128" i="2"/>
  <c r="O85" i="2"/>
  <c r="O27" i="2"/>
  <c r="N27" i="2" a="1"/>
  <c r="N27" i="2" s="1"/>
  <c r="N7" i="2" a="1"/>
  <c r="N7" i="2" s="1"/>
  <c r="O7" i="2"/>
  <c r="O79" i="2"/>
  <c r="N79" i="2" a="1"/>
  <c r="N79" i="2" s="1"/>
  <c r="O32" i="2"/>
  <c r="O108" i="2"/>
  <c r="O118" i="2"/>
  <c r="O10" i="2"/>
  <c r="O14" i="2"/>
  <c r="N14" i="2" a="1"/>
  <c r="N14" i="2" s="1"/>
  <c r="O66" i="2"/>
  <c r="N66" i="2" a="1"/>
  <c r="N66" i="2" s="1"/>
  <c r="O16" i="2"/>
  <c r="O112" i="2"/>
  <c r="O129"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BF1D922-4712-48F1-B96F-2B6F135A7B2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372A41A-8840-4CE4-8027-4942DC239C2D}" name="WorksheetConnection_Project Complete.xlsm!Table2" type="102" refreshedVersion="8" minRefreshableVersion="5">
    <extLst>
      <ext xmlns:x15="http://schemas.microsoft.com/office/spreadsheetml/2010/11/main" uri="{DE250136-89BD-433C-8126-D09CA5730AF9}">
        <x15:connection id="Table2">
          <x15:rangePr sourceName="_xlcn.WorksheetConnection_ProjectComplete.xlsmTable2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<sst xmlns="http://schemas.openxmlformats.org/spreadsheetml/2006/main" count="474" uniqueCount="315">
  <si>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</si>
  <si>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</si>
  <si>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</si>
  <si>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</si>
  <si>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</si>
  <si>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</si>
  <si>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</si>
  <si>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</si>
  <si>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</si>
  <si>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</si>
  <si>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</si>
  <si>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</si>
  <si>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</si>
  <si>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</si>
  <si>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</si>
  <si>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</si>
  <si>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</si>
  <si>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</si>
  <si>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</si>
  <si>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</si>
  <si>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</si>
  <si>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</si>
  <si>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</si>
  <si>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</si>
  <si>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</si>
  <si>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</si>
  <si>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</si>
  <si>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</si>
  <si>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</si>
  <si>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</si>
  <si>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</si>
  <si>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</si>
  <si>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</si>
  <si>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</si>
  <si>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</si>
  <si>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</si>
  <si>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</si>
  <si>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</si>
  <si>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</si>
  <si>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</si>
  <si>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</si>
  <si>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</si>
  <si>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</si>
  <si>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</si>
  <si>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</si>
  <si>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</si>
  <si>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</si>
  <si>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</si>
  <si>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</si>
  <si>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</si>
  <si>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</si>
  <si>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</si>
  <si>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</si>
  <si>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</si>
  <si>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</si>
  <si>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</si>
  <si>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</si>
  <si>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</si>
  <si>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</si>
  <si>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</si>
  <si>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</si>
  <si>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</si>
  <si>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</si>
  <si>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</si>
  <si>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</si>
  <si>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</si>
  <si>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</si>
  <si>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</si>
  <si>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</si>
  <si>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</si>
  <si>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</si>
  <si>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</si>
  <si>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</si>
  <si>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</si>
  <si>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</si>
  <si>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</si>
  <si>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</si>
  <si>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</si>
  <si>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</si>
  <si>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</si>
  <si>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</si>
  <si>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</si>
  <si>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</si>
  <si>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</si>
  <si>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</si>
  <si>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</si>
  <si>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</si>
  <si>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</si>
  <si>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</si>
  <si>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</si>
  <si>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</si>
  <si>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</si>
  <si>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</si>
  <si>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</si>
  <si>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</si>
  <si>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</si>
  <si>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</si>
  <si>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</si>
  <si>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</si>
  <si>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</si>
  <si>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</si>
  <si>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</si>
  <si>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</si>
  <si>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</si>
  <si>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</si>
  <si>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</si>
  <si>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</si>
  <si>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</si>
  <si>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</si>
  <si>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</si>
  <si>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</si>
  <si>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</si>
  <si>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</si>
  <si>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</si>
  <si>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</si>
  <si>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</si>
  <si>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</si>
  <si>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</si>
  <si>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</si>
  <si>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</si>
  <si>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</si>
  <si>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</si>
  <si>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</si>
  <si>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</si>
  <si>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</si>
  <si>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</si>
  <si>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</si>
  <si>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</si>
  <si>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</si>
  <si>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</si>
  <si>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</si>
  <si>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</si>
  <si>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</si>
  <si>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</si>
  <si>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</si>
  <si>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</si>
  <si>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</si>
  <si>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</si>
  <si>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</si>
  <si>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</si>
  <si>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</si>
  <si>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</si>
  <si>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</si>
  <si>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</si>
  <si>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</si>
  <si>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</si>
  <si>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</si>
  <si>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</si>
  <si>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</si>
  <si>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</si>
  <si>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</si>
  <si>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</si>
  <si>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</si>
  <si>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</si>
  <si>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</si>
  <si>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</si>
  <si>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</si>
  <si>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</si>
  <si>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</si>
  <si>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</si>
  <si>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</si>
  <si>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</si>
  <si>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</si>
  <si>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</si>
  <si>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</si>
  <si>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</si>
  <si>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</si>
  <si>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</si>
  <si>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</si>
  <si>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</si>
  <si>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</si>
  <si>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</si>
  <si>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</si>
  <si>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</si>
  <si>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</si>
  <si>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</si>
  <si>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</si>
  <si>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</si>
  <si>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</si>
  <si>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</si>
  <si>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</si>
  <si>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</si>
  <si>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</si>
  <si>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</si>
  <si>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</si>
  <si>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</si>
  <si>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</si>
  <si>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</si>
  <si>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</si>
  <si>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</si>
  <si>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</si>
  <si>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</si>
  <si>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</si>
  <si>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</si>
  <si>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</si>
  <si>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</si>
  <si>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</si>
  <si>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</si>
  <si>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</si>
  <si>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</si>
  <si>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</si>
  <si>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</si>
  <si>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</si>
  <si>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</si>
  <si>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</si>
  <si>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</si>
  <si>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</si>
  <si>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</si>
  <si>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</si>
  <si>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</si>
  <si>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</si>
  <si>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</si>
  <si>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</si>
  <si>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</si>
  <si>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</si>
  <si>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</si>
  <si>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</si>
  <si>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</si>
  <si>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</si>
  <si>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</si>
  <si>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</si>
  <si>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</si>
  <si>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</si>
  <si>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</si>
  <si>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</si>
  <si>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</si>
  <si>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</si>
  <si>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</si>
  <si>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</si>
  <si>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</si>
  <si>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</si>
  <si>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</si>
  <si>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</si>
  <si>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</si>
  <si>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</si>
  <si>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</si>
  <si>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</si>
  <si>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</si>
  <si>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</si>
  <si>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</si>
  <si>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</si>
  <si>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</si>
  <si>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</si>
  <si>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</si>
  <si>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</si>
  <si>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</si>
  <si>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</si>
  <si>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</si>
  <si>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</si>
  <si>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</si>
  <si>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</si>
  <si>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</si>
  <si>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</si>
  <si>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</si>
  <si>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</si>
  <si>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</si>
  <si>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</si>
  <si>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</si>
  <si>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</si>
  <si>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</si>
  <si>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</si>
  <si>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</si>
  <si>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</si>
  <si>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</si>
  <si>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</si>
  <si>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</si>
  <si>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</si>
  <si>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</si>
  <si>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</si>
  <si>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</si>
  <si>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</si>
  <si>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</si>
  <si>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</si>
  <si>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</si>
  <si>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</si>
  <si>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</si>
  <si>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</si>
  <si>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</si>
  <si>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</si>
  <si>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</si>
  <si>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</si>
  <si>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</si>
  <si>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</si>
  <si>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</si>
  <si>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</si>
  <si>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</si>
  <si>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</si>
  <si>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</si>
  <si>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</si>
  <si>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</si>
  <si>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</si>
  <si>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</si>
  <si>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</si>
  <si>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</si>
  <si>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</si>
  <si>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</si>
  <si>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</si>
  <si>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</si>
  <si>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</si>
  <si>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</si>
  <si>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</si>
  <si>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</si>
  <si>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</si>
  <si>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</si>
  <si>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</si>
  <si>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KPI Score</t>
  </si>
  <si>
    <t>KPI Rating</t>
  </si>
  <si>
    <t>KPI Ranking</t>
  </si>
  <si>
    <t>Sum of Total Sales</t>
  </si>
  <si>
    <t>Total Sales Region wise</t>
  </si>
  <si>
    <t>Critical Count</t>
  </si>
  <si>
    <t>Sum of Target</t>
  </si>
  <si>
    <t>Sum of Target_Achivement%</t>
  </si>
  <si>
    <t>Target Achivement %</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</si>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</sst>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 #,##0"/>
  </numFmts>
  <fonts count="9"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color rgb="FF000000"/>
      <name val="Segoe UI"/>
      <family val="2"/>
    </font>
    <font>
      <b/>
      <sz val="11"/>
      <color theme="1"/>
      <name val="Aptos Narrow"/>
      <family val="2"/>
      <scheme val="minor"/>
    </font>
    <font>
      <b/>
      <sz val="18"/>
      <color theme="1"/>
      <name val="Aptos Narrow"/>
      <family val="2"/>
      <scheme val="minor"/>
    </font>
    <font>
      <b/>
      <sz val="20"/>
      <color theme="1"/>
      <name val="Aptos Narrow"/>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3" tint="0.89999084444715716"/>
        <bgColor indexed="64"/>
      </patternFill>
    </fill>
    <fill>
      <patternFill patternType="solid">
        <fgColor theme="4" tint="0.79998168889431442"/>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60">
    <xf numFmtId="0" fontId="0" fillId="0" borderId="0" xfId="0"/>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0" fontId="0" fillId="3" borderId="1" xfId="0" applyFill="1" applyBorder="1" applyAlignment="1">
      <alignment horizontal="center"/>
    </xf>
    <xf numFmtId="10" fontId="4" fillId="3" borderId="3" xfId="0" applyNumberFormat="1" applyFont="1" applyFill="1" applyBorder="1" applyAlignment="1">
      <alignment horizontal="center" vertical="center"/>
    </xf>
    <xf numFmtId="0" fontId="0" fillId="5" borderId="1" xfId="0" applyFill="1" applyBorder="1"/>
    <xf numFmtId="0" fontId="0" fillId="0" borderId="2" xfId="0" applyBorder="1"/>
    <xf numFmtId="14" fontId="3" fillId="3" borderId="5" xfId="0" applyNumberFormat="1" applyFont="1" applyFill="1" applyBorder="1" applyAlignment="1">
      <alignment horizontal="center" vertical="center"/>
    </xf>
    <xf numFmtId="0" fontId="0" fillId="5" borderId="3" xfId="0" applyFill="1" applyBorder="1"/>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6" fillId="2" borderId="9" xfId="0" applyFont="1" applyFill="1" applyBorder="1"/>
    <xf numFmtId="14" fontId="3" fillId="3" borderId="10" xfId="0" applyNumberFormat="1" applyFont="1" applyFill="1" applyBorder="1" applyAlignment="1">
      <alignment horizontal="center" vertical="center"/>
    </xf>
    <xf numFmtId="0" fontId="0" fillId="3" borderId="4" xfId="0" applyFill="1" applyBorder="1"/>
    <xf numFmtId="0" fontId="3" fillId="3" borderId="4" xfId="0" applyFont="1" applyFill="1" applyBorder="1" applyAlignment="1">
      <alignment horizontal="center" vertical="center"/>
    </xf>
    <xf numFmtId="0" fontId="4" fillId="3" borderId="4" xfId="0" applyFont="1" applyFill="1" applyBorder="1" applyAlignment="1">
      <alignment horizontal="center" vertical="center"/>
    </xf>
    <xf numFmtId="10" fontId="4" fillId="3" borderId="4" xfId="1" applyNumberFormat="1" applyFont="1" applyFill="1" applyBorder="1" applyAlignment="1">
      <alignment horizontal="center" vertical="center"/>
    </xf>
    <xf numFmtId="10" fontId="4" fillId="3" borderId="11" xfId="0" applyNumberFormat="1" applyFont="1" applyFill="1" applyBorder="1" applyAlignment="1">
      <alignment horizontal="center" vertical="center"/>
    </xf>
    <xf numFmtId="0" fontId="0" fillId="5" borderId="4" xfId="0" applyFill="1" applyBorder="1"/>
    <xf numFmtId="0" fontId="0" fillId="5" borderId="11" xfId="0" applyFill="1" applyBorder="1"/>
    <xf numFmtId="0" fontId="0" fillId="0" borderId="15" xfId="0" applyBorder="1" applyAlignment="1">
      <alignment horizontal="left"/>
    </xf>
    <xf numFmtId="0" fontId="0" fillId="0" borderId="16" xfId="0" applyBorder="1" applyAlignment="1">
      <alignment horizontal="left"/>
    </xf>
    <xf numFmtId="10" fontId="0" fillId="0" borderId="18" xfId="0" applyNumberFormat="1" applyBorder="1"/>
    <xf numFmtId="10" fontId="0" fillId="0" borderId="19" xfId="0" applyNumberFormat="1" applyBorder="1"/>
    <xf numFmtId="10" fontId="0" fillId="0" borderId="20" xfId="0" applyNumberFormat="1" applyBorder="1"/>
    <xf numFmtId="0" fontId="0" fillId="0" borderId="12" xfId="0" pivotButton="1" applyBorder="1"/>
    <xf numFmtId="0" fontId="0" fillId="0" borderId="12" xfId="0" applyBorder="1"/>
    <xf numFmtId="0" fontId="0" fillId="0" borderId="19" xfId="0" applyBorder="1" applyAlignment="1">
      <alignment horizontal="left"/>
    </xf>
    <xf numFmtId="0" fontId="0" fillId="4" borderId="21" xfId="0" applyFill="1" applyBorder="1" applyAlignment="1">
      <alignment vertical="center"/>
    </xf>
    <xf numFmtId="0" fontId="0" fillId="4" borderId="14" xfId="0" applyFill="1" applyBorder="1" applyAlignment="1">
      <alignment vertical="center"/>
    </xf>
    <xf numFmtId="0" fontId="0" fillId="4" borderId="15" xfId="0" applyFill="1" applyBorder="1" applyAlignment="1">
      <alignment vertical="center"/>
    </xf>
    <xf numFmtId="0" fontId="0" fillId="4" borderId="0" xfId="0" applyFill="1" applyAlignment="1">
      <alignment vertical="center"/>
    </xf>
    <xf numFmtId="2" fontId="8" fillId="4" borderId="0" xfId="0" applyNumberFormat="1" applyFont="1" applyFill="1" applyAlignment="1">
      <alignment horizontal="right" vertical="center"/>
    </xf>
    <xf numFmtId="0" fontId="8" fillId="4" borderId="0" xfId="0" applyFont="1" applyFill="1" applyAlignment="1">
      <alignment horizontal="center" vertical="center"/>
    </xf>
    <xf numFmtId="0" fontId="0" fillId="4" borderId="2" xfId="0" applyFill="1" applyBorder="1" applyAlignment="1">
      <alignment vertical="center"/>
    </xf>
    <xf numFmtId="0" fontId="0" fillId="4" borderId="15" xfId="0" applyFill="1" applyBorder="1"/>
    <xf numFmtId="0" fontId="0" fillId="4" borderId="0" xfId="0" applyFill="1"/>
    <xf numFmtId="0" fontId="0" fillId="4" borderId="2" xfId="0" applyFill="1" applyBorder="1"/>
    <xf numFmtId="0" fontId="0" fillId="4" borderId="16" xfId="0" applyFill="1" applyBorder="1"/>
    <xf numFmtId="0" fontId="0" fillId="4" borderId="22" xfId="0" applyFill="1" applyBorder="1"/>
    <xf numFmtId="0" fontId="0" fillId="4" borderId="17" xfId="0" applyFill="1" applyBorder="1"/>
    <xf numFmtId="164" fontId="7" fillId="4" borderId="0" xfId="0" applyNumberFormat="1" applyFont="1" applyFill="1" applyAlignment="1">
      <alignment vertical="center"/>
    </xf>
    <xf numFmtId="164" fontId="8" fillId="4" borderId="0" xfId="0" applyNumberFormat="1" applyFont="1" applyFill="1" applyAlignment="1">
      <alignment horizontal="left" vertical="center"/>
    </xf>
    <xf numFmtId="0" fontId="0" fillId="4" borderId="13" xfId="0" applyFill="1" applyBorder="1" applyAlignment="1">
      <alignment horizontal="right" vertical="center"/>
    </xf>
    <xf numFmtId="0" fontId="0" fillId="0" borderId="0" xfId="0" applyNumberFormat="1"/>
    <xf numFmtId="0" fontId="0" fillId="0" borderId="14" xfId="0" applyBorder="1"/>
    <xf numFmtId="0" fontId="0" fillId="0" borderId="2" xfId="0" applyNumberFormat="1" applyBorder="1"/>
    <xf numFmtId="0" fontId="0" fillId="0" borderId="18" xfId="0" applyNumberFormat="1" applyBorder="1"/>
    <xf numFmtId="0" fontId="0" fillId="0" borderId="19" xfId="0" applyNumberFormat="1" applyBorder="1"/>
    <xf numFmtId="0" fontId="0" fillId="0" borderId="20" xfId="0" applyNumberFormat="1" applyBorder="1"/>
    <xf numFmtId="0" fontId="0" fillId="0" borderId="13" xfId="0" applyBorder="1"/>
    <xf numFmtId="0" fontId="0" fillId="0" borderId="24" xfId="0" applyNumberFormat="1" applyBorder="1"/>
    <xf numFmtId="0" fontId="0" fillId="0" borderId="23" xfId="0" applyNumberFormat="1" applyBorder="1"/>
    <xf numFmtId="0" fontId="0" fillId="0" borderId="21" xfId="0" applyBorder="1"/>
    <xf numFmtId="0" fontId="0" fillId="0" borderId="25" xfId="0" applyNumberFormat="1" applyBorder="1"/>
    <xf numFmtId="0" fontId="2" fillId="2" borderId="0" xfId="0" applyFont="1" applyFill="1" applyAlignment="1">
      <alignment horizontal="center" vertical="center"/>
    </xf>
  </cellXfs>
  <cellStyles count="2">
    <cellStyle name="Normal" xfId="0" builtinId="0"/>
    <cellStyle name="Percent" xfId="1" builtinId="5"/>
  </cellStyles>
  <dxfs count="277">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0" formatCode="General"/>
    </dxf>
    <dxf>
      <numFmt numFmtId="0" formatCode="General"/>
    </dxf>
    <dxf>
      <fill>
        <patternFill patternType="solid">
          <fgColor indexed="64"/>
          <bgColor theme="4" tint="0.79998168889431442"/>
        </patternFill>
      </fill>
      <border diagonalUp="0" diagonalDown="0">
        <left style="thin">
          <color indexed="64"/>
        </left>
        <right/>
        <top style="thin">
          <color indexed="64"/>
        </top>
        <bottom style="thin">
          <color indexed="64"/>
        </bottom>
        <vertical/>
        <horizontal/>
      </border>
    </dxf>
    <dxf>
      <fill>
        <patternFill patternType="solid">
          <fgColor indexed="64"/>
          <bgColor theme="4" tint="0.79998168889431442"/>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Aptos Narrow"/>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rgb="FF000000"/>
        <name val="Aptos Narrow"/>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numFmt numFmtId="19" formatCode="dd/mm/yyyy"/>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rgb="FF000000"/>
        <name val="Aptos Narrow"/>
        <family val="2"/>
        <scheme val="minor"/>
      </font>
      <fill>
        <patternFill patternType="solid">
          <fgColor indexed="64"/>
          <bgColor rgb="FFFFFF00"/>
        </patternFill>
      </fill>
      <alignment horizontal="center" vertical="center" textRotation="0" wrapText="0" indent="0" justifyLastLine="0" shrinkToFit="0" readingOrder="0"/>
    </dxf>
    <dxf>
      <fill>
        <patternFill>
          <bgColor theme="1" tint="0.24994659260841701"/>
        </patternFill>
      </fill>
    </dxf>
    <dxf>
      <fill>
        <patternFill>
          <bgColor rgb="FF0070C0"/>
        </patternFill>
      </fill>
    </dxf>
    <dxf>
      <fill>
        <patternFill>
          <bgColor theme="1" tint="0.24994659260841701"/>
        </patternFill>
      </fill>
    </dxf>
  </dxfs>
  <tableStyles count="3" defaultTableStyle="TableStyleMedium2" defaultPivotStyle="PivotStyleLight16">
    <tableStyle name="Slicer Style 1" pivot="0" table="0" count="1" xr9:uid="{C1593FC8-9075-4D1B-9C95-5E5A22D30F58}">
      <tableStyleElement type="wholeTable" dxfId="276"/>
    </tableStyle>
    <tableStyle name="Slicer Style 1 2" pivot="0" table="0" count="5" xr9:uid="{ABEC25C7-5718-4CE5-BE83-61BDEA0D218C}">
      <tableStyleElement type="wholeTable" dxfId="275"/>
    </tableStyle>
    <tableStyle name="Slicer Style 1 3" pivot="0" table="0" count="5" xr9:uid="{0CE67042-811D-4AE5-9816-88017B091539}">
      <tableStyleElement type="wholeTable" dxfId="274"/>
    </tableStyle>
  </tableStyles>
  <colors>
    <mruColors>
      <color rgb="FF0099FF"/>
      <color rgb="FFF2DDFB"/>
      <color rgb="FFEBCDF9"/>
      <color rgb="FFF4F9AD"/>
    </mruColors>
  </colors>
  <extLst>
    <ext xmlns:x14="http://schemas.microsoft.com/office/spreadsheetml/2009/9/main" uri="{46F421CA-312F-682f-3DD2-61675219B42D}">
      <x14:dxfs count="8">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dxf>
          <fill>
            <patternFill>
              <bgColor rgb="FFF4F9AD"/>
            </patternFill>
          </fill>
        </dxf>
        <dxf>
          <fill>
            <patternFill>
              <bgColor theme="5" tint="0.59996337778862885"/>
            </patternFill>
          </fill>
        </dxf>
        <dxf>
          <fill>
            <patternFill>
              <bgColor rgb="FFFFFF00"/>
            </patternFill>
          </fill>
        </dxf>
        <dxf>
          <fill>
            <patternFill>
              <bgColor theme="5" tint="0.39994506668294322"/>
            </patternFill>
          </fill>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1 3">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alcChain" Target="calcChain.xml"/><Relationship Id="rId18" Type="http://schemas.openxmlformats.org/officeDocument/2006/relationships/customXml" Target="../customXml/item5.xml"/><Relationship Id="rId26" Type="http://schemas.openxmlformats.org/officeDocument/2006/relationships/customXml" Target="../customXml/item13.xml"/><Relationship Id="rId3" Type="http://schemas.openxmlformats.org/officeDocument/2006/relationships/pivotCacheDefinition" Target="pivotCache/pivotCacheDefinition1.xml"/><Relationship Id="rId21" Type="http://schemas.openxmlformats.org/officeDocument/2006/relationships/customXml" Target="../customXml/item8.xml"/><Relationship Id="rId7" Type="http://schemas.openxmlformats.org/officeDocument/2006/relationships/theme" Target="theme/theme1.xml"/><Relationship Id="rId12" Type="http://schemas.openxmlformats.org/officeDocument/2006/relationships/powerPivotData" Target="model/item.data"/><Relationship Id="rId17" Type="http://schemas.openxmlformats.org/officeDocument/2006/relationships/customXml" Target="../customXml/item4.xml"/><Relationship Id="rId25" Type="http://schemas.openxmlformats.org/officeDocument/2006/relationships/customXml" Target="../customXml/item1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20" Type="http://schemas.openxmlformats.org/officeDocument/2006/relationships/customXml" Target="../customXml/item7.xml"/><Relationship Id="rId29" Type="http://schemas.openxmlformats.org/officeDocument/2006/relationships/customXml" Target="../customXml/item16.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24" Type="http://schemas.openxmlformats.org/officeDocument/2006/relationships/customXml" Target="../customXml/item11.xml"/><Relationship Id="rId32" Type="http://schemas.openxmlformats.org/officeDocument/2006/relationships/customXml" Target="../customXml/item19.xml"/><Relationship Id="rId5" Type="http://schemas.openxmlformats.org/officeDocument/2006/relationships/pivotCacheDefinition" Target="pivotCache/pivotCacheDefinition3.xml"/><Relationship Id="rId15" Type="http://schemas.openxmlformats.org/officeDocument/2006/relationships/customXml" Target="../customXml/item2.xml"/><Relationship Id="rId23" Type="http://schemas.openxmlformats.org/officeDocument/2006/relationships/customXml" Target="../customXml/item10.xml"/><Relationship Id="rId28" Type="http://schemas.openxmlformats.org/officeDocument/2006/relationships/customXml" Target="../customXml/item15.xml"/><Relationship Id="rId10" Type="http://schemas.openxmlformats.org/officeDocument/2006/relationships/sharedStrings" Target="sharedStrings.xml"/><Relationship Id="rId19" Type="http://schemas.openxmlformats.org/officeDocument/2006/relationships/customXml" Target="../customXml/item6.xml"/><Relationship Id="rId31" Type="http://schemas.openxmlformats.org/officeDocument/2006/relationships/customXml" Target="../customXml/item18.xml"/><Relationship Id="rId4" Type="http://schemas.openxmlformats.org/officeDocument/2006/relationships/pivotCacheDefinition" Target="pivotCache/pivotCacheDefinition2.xml"/><Relationship Id="rId9" Type="http://schemas.openxmlformats.org/officeDocument/2006/relationships/styles" Target="styles.xml"/><Relationship Id="rId14" Type="http://schemas.openxmlformats.org/officeDocument/2006/relationships/customXml" Target="../customXml/item1.xml"/><Relationship Id="rId22" Type="http://schemas.openxmlformats.org/officeDocument/2006/relationships/customXml" Target="../customXml/item9.xml"/><Relationship Id="rId27" Type="http://schemas.openxmlformats.org/officeDocument/2006/relationships/customXml" Target="../customXml/item14.xml"/><Relationship Id="rId30" Type="http://schemas.openxmlformats.org/officeDocument/2006/relationships/customXml" Target="../customXml/item17.xml"/><Relationship Id="rId8"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[Project Complete - Copy.xlsm]Dashboard!PivotTable1</c:name>
    <c:fmtId val="2"/>
  </c:pivotSource>
  <c:chart>
    <c:autoTitleDeleted val="1"/>
    <c:pivotFmts>
      <c:pivotFmt>
        <c:idx val="0"/>
        <c:spPr>
          <a:solidFill>
            <a:schemeClr val="accent5">
              <a:lumMod val="75000"/>
            </a:schemeClr>
          </a:solidFill>
          <a:ln>
            <a:noFill/>
          </a:ln>
          <a:effectLst/>
        </c:spPr>
        <c:marker>
          <c:symbol val="none"/>
        </c:marker>
        <c:dLbl>
          <c:idx val="0"/>
          <c:spPr>
            <a:solidFill>
              <a:schemeClr val="accent5">
                <a:lumMod val="20000"/>
                <a:lumOff val="80000"/>
              </a:schemeClr>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706938540351216"/>
          <c:y val="6.1655138141492587E-2"/>
          <c:w val="0.60649321797987776"/>
          <c:h val="0.87668972371701481"/>
        </c:manualLayout>
      </c:layout>
      <c:barChart>
        <c:barDir val="bar"/>
        <c:grouping val="clustered"/>
        <c:varyColors val="0"/>
        <c:ser>
          <c:idx val="0"/>
          <c:order val="0"/>
          <c:tx>
            <c:strRef>
              <c:f>Dashboard!$C$4</c:f>
              <c:strCache>
                <c:ptCount val="1"/>
                <c:pt idx="0">
                  <c:v>Total</c:v>
                </c:pt>
              </c:strCache>
            </c:strRef>
          </c:tx>
          <c:spPr>
            <a:solidFill>
              <a:schemeClr val="accent5">
                <a:lumMod val="75000"/>
              </a:schemeClr>
            </a:solidFill>
            <a:ln>
              <a:noFill/>
            </a:ln>
            <a:effectLst/>
          </c:spPr>
          <c:invertIfNegative val="0"/>
          <c:dLbls>
            <c:spPr>
              <a:solidFill>
                <a:schemeClr val="accent5">
                  <a:lumMod val="20000"/>
                  <a:lumOff val="80000"/>
                </a:schemeClr>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Dashboard!$B$5:$B$9</c:f>
              <c:strCache>
                <c:ptCount val="5"/>
                <c:pt idx="0">
                  <c:v>Anikuttan</c:v>
                </c:pt>
                <c:pt idx="1">
                  <c:v>Bhagwat Singh</c:v>
                </c:pt>
                <c:pt idx="2">
                  <c:v>ManjuTiwari Lab</c:v>
                </c:pt>
                <c:pt idx="3">
                  <c:v>Rashid</c:v>
                </c:pt>
                <c:pt idx="4">
                  <c:v>Ritu Bhatnagar</c:v>
                </c:pt>
              </c:strCache>
            </c:strRef>
          </c:cat>
          <c:val>
            <c:numRef>
              <c:f>Dashboard!$C$5:$C$9</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8142-47C4-8B74-D06967C21208}"/>
            </c:ext>
          </c:extLst>
        </c:ser>
        <c:dLbls>
          <c:showLegendKey val="0"/>
          <c:showVal val="0"/>
          <c:showCatName val="0"/>
          <c:showSerName val="0"/>
          <c:showPercent val="0"/>
          <c:showBubbleSize val="0"/>
        </c:dLbls>
        <c:gapWidth val="182"/>
        <c:axId val="299573135"/>
        <c:axId val="299572655"/>
      </c:barChart>
      <c:catAx>
        <c:axId val="2995731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9572655"/>
        <c:crosses val="autoZero"/>
        <c:auto val="1"/>
        <c:lblAlgn val="ctr"/>
        <c:lblOffset val="100"/>
        <c:noMultiLvlLbl val="0"/>
      </c:catAx>
      <c:valAx>
        <c:axId val="299572655"/>
        <c:scaling>
          <c:orientation val="minMax"/>
        </c:scaling>
        <c:delete val="1"/>
        <c:axPos val="b"/>
        <c:numFmt formatCode="General" sourceLinked="1"/>
        <c:majorTickMark val="none"/>
        <c:minorTickMark val="none"/>
        <c:tickLblPos val="nextTo"/>
        <c:crossAx val="2995731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 - Copy.xlsm]Dashboard!PivotTable2</c:name>
    <c:fmtId val="0"/>
  </c:pivotSource>
  <c:chart>
    <c:autoTitleDeleted val="1"/>
    <c:pivotFmts>
      <c:pivotFmt>
        <c:idx val="0"/>
        <c:spPr>
          <a:solidFill>
            <a:srgbClr val="7030A0"/>
          </a:solidFill>
          <a:ln>
            <a:noFill/>
          </a:ln>
          <a:effectLst/>
        </c:spPr>
        <c:marker>
          <c:symbol val="none"/>
        </c:marker>
        <c:dLbl>
          <c:idx val="0"/>
          <c:spPr>
            <a:solidFill>
              <a:srgbClr val="F2DDFB"/>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392970650609931"/>
          <c:y val="7.4862401390470165E-2"/>
          <c:w val="0.81102935227935946"/>
          <c:h val="0.61447421162901927"/>
        </c:manualLayout>
      </c:layout>
      <c:barChart>
        <c:barDir val="col"/>
        <c:grouping val="clustered"/>
        <c:varyColors val="0"/>
        <c:ser>
          <c:idx val="0"/>
          <c:order val="0"/>
          <c:tx>
            <c:strRef>
              <c:f>Dashboard!$F$4</c:f>
              <c:strCache>
                <c:ptCount val="1"/>
                <c:pt idx="0">
                  <c:v>Total</c:v>
                </c:pt>
              </c:strCache>
            </c:strRef>
          </c:tx>
          <c:spPr>
            <a:solidFill>
              <a:srgbClr val="7030A0"/>
            </a:solidFill>
            <a:ln>
              <a:noFill/>
            </a:ln>
            <a:effectLst/>
          </c:spPr>
          <c:invertIfNegative val="0"/>
          <c:dLbls>
            <c:spPr>
              <a:solidFill>
                <a:srgbClr val="F2DDFB"/>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Dashboard!$E$5:$E$9</c:f>
              <c:strCache>
                <c:ptCount val="5"/>
                <c:pt idx="0">
                  <c:v>Jyoti Tulsani</c:v>
                </c:pt>
                <c:pt idx="1">
                  <c:v>Mubeen Khan</c:v>
                </c:pt>
                <c:pt idx="2">
                  <c:v>Praveen Kumar</c:v>
                </c:pt>
                <c:pt idx="3">
                  <c:v>Sanjiv Subherwal</c:v>
                </c:pt>
                <c:pt idx="4">
                  <c:v>Sushma Khandelwal</c:v>
                </c:pt>
              </c:strCache>
            </c:strRef>
          </c:cat>
          <c:val>
            <c:numRef>
              <c:f>Dashboard!$F$5:$F$9</c:f>
              <c:numCache>
                <c:formatCode>General</c:formatCode>
                <c:ptCount val="5"/>
                <c:pt idx="0">
                  <c:v>228</c:v>
                </c:pt>
                <c:pt idx="1">
                  <c:v>209</c:v>
                </c:pt>
                <c:pt idx="2">
                  <c:v>166</c:v>
                </c:pt>
                <c:pt idx="3">
                  <c:v>223</c:v>
                </c:pt>
                <c:pt idx="4">
                  <c:v>213</c:v>
                </c:pt>
              </c:numCache>
            </c:numRef>
          </c:val>
          <c:extLst>
            <c:ext xmlns:c16="http://schemas.microsoft.com/office/drawing/2014/chart" uri="{C3380CC4-5D6E-409C-BE32-E72D297353CC}">
              <c16:uniqueId val="{00000000-DD19-4A49-9B6B-7EEB0C9CB72F}"/>
            </c:ext>
          </c:extLst>
        </c:ser>
        <c:dLbls>
          <c:showLegendKey val="0"/>
          <c:showVal val="0"/>
          <c:showCatName val="0"/>
          <c:showSerName val="0"/>
          <c:showPercent val="0"/>
          <c:showBubbleSize val="0"/>
        </c:dLbls>
        <c:gapWidth val="219"/>
        <c:overlap val="-27"/>
        <c:axId val="204321711"/>
        <c:axId val="204320271"/>
      </c:barChart>
      <c:catAx>
        <c:axId val="204321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320271"/>
        <c:crosses val="autoZero"/>
        <c:auto val="1"/>
        <c:lblAlgn val="ctr"/>
        <c:lblOffset val="100"/>
        <c:noMultiLvlLbl val="0"/>
      </c:catAx>
      <c:valAx>
        <c:axId val="204320271"/>
        <c:scaling>
          <c:orientation val="minMax"/>
        </c:scaling>
        <c:delete val="1"/>
        <c:axPos val="l"/>
        <c:numFmt formatCode="General" sourceLinked="1"/>
        <c:majorTickMark val="none"/>
        <c:minorTickMark val="none"/>
        <c:tickLblPos val="nextTo"/>
        <c:crossAx val="2043217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 - Copy.xlsm]Dashboard!PivotTable3</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Dashboard!$I$4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03E-44FC-8AA3-6275F580490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03E-44FC-8AA3-6275F580490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03E-44FC-8AA3-6275F580490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303E-44FC-8AA3-6275F580490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303E-44FC-8AA3-6275F580490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Dashboard!$H$5:$H$9</c:f>
              <c:strCache>
                <c:ptCount val="5"/>
                <c:pt idx="0">
                  <c:v>Anikuttan</c:v>
                </c:pt>
                <c:pt idx="1">
                  <c:v>Bhagwat Singh</c:v>
                </c:pt>
                <c:pt idx="2">
                  <c:v>ManjuTiwari Lab</c:v>
                </c:pt>
                <c:pt idx="3">
                  <c:v>Rashid</c:v>
                </c:pt>
                <c:pt idx="4">
                  <c:v>Ritu Bhatnagar</c:v>
                </c:pt>
              </c:strCache>
            </c:strRef>
          </c:cat>
          <c:val>
            <c:numRef>
              <c:f>Dashboard!$I$5:$I$9</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A463-46BF-8506-F3FA7CDEACFA}"/>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423568207820175"/>
          <c:y val="0.24801477021254695"/>
          <c:w val="0.34611952475223601"/>
          <c:h val="0.4474403615365889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 - Copy.xlsm]Dashboard!PivotTable4</c:name>
    <c:fmtId val="2"/>
  </c:pivotSource>
  <c:chart>
    <c:autoTitleDeleted val="1"/>
    <c:pivotFmts>
      <c:pivotFmt>
        <c:idx val="0"/>
        <c:spPr>
          <a:ln w="28575" cap="rnd">
            <a:solidFill>
              <a:schemeClr val="tx2">
                <a:lumMod val="90000"/>
                <a:lumOff val="10000"/>
              </a:schemeClr>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tx2">
                <a:lumMod val="90000"/>
                <a:lumOff val="10000"/>
              </a:schemeClr>
            </a:solidFill>
            <a:round/>
          </a:ln>
          <a:effectLst/>
        </c:spPr>
        <c:marker>
          <c:symbol val="none"/>
        </c:marker>
      </c:pivotFmt>
    </c:pivotFmts>
    <c:plotArea>
      <c:layout/>
      <c:lineChart>
        <c:grouping val="standard"/>
        <c:varyColors val="0"/>
        <c:ser>
          <c:idx val="0"/>
          <c:order val="0"/>
          <c:tx>
            <c:strRef>
              <c:f>Dashboard!$L$4</c:f>
              <c:strCache>
                <c:ptCount val="1"/>
                <c:pt idx="0">
                  <c:v>Total</c:v>
                </c:pt>
              </c:strCache>
            </c:strRef>
          </c:tx>
          <c:spPr>
            <a:ln w="28575" cap="rnd">
              <a:solidFill>
                <a:schemeClr val="tx2">
                  <a:lumMod val="90000"/>
                  <a:lumOff val="10000"/>
                </a:schemeClr>
              </a:solidFill>
              <a:round/>
            </a:ln>
            <a:effectLst/>
          </c:spPr>
          <c:marker>
            <c:symbol val="none"/>
          </c:marker>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Dashboard!$K$5:$K$9</c:f>
              <c:strCache>
                <c:ptCount val="5"/>
                <c:pt idx="0">
                  <c:v>Jyoti Tulsani</c:v>
                </c:pt>
                <c:pt idx="1">
                  <c:v>Mubeen Khan</c:v>
                </c:pt>
                <c:pt idx="2">
                  <c:v>Praveen Kumar</c:v>
                </c:pt>
                <c:pt idx="3">
                  <c:v>Sanjiv Subherwal</c:v>
                </c:pt>
                <c:pt idx="4">
                  <c:v>Sushma Khandelwal</c:v>
                </c:pt>
              </c:strCache>
            </c:strRef>
          </c:cat>
          <c:val>
            <c:numRef>
              <c:f>Dashboard!$L$5:$L$9</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D16F-4725-AFFB-CE3A791AD549}"/>
            </c:ext>
          </c:extLst>
        </c:ser>
        <c:dLbls>
          <c:showLegendKey val="0"/>
          <c:showVal val="0"/>
          <c:showCatName val="0"/>
          <c:showSerName val="0"/>
          <c:showPercent val="0"/>
          <c:showBubbleSize val="0"/>
        </c:dLbls>
        <c:smooth val="0"/>
        <c:axId val="2062922815"/>
        <c:axId val="295277583"/>
      </c:lineChart>
      <c:catAx>
        <c:axId val="2062922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5277583"/>
        <c:crosses val="autoZero"/>
        <c:auto val="1"/>
        <c:lblAlgn val="ctr"/>
        <c:lblOffset val="100"/>
        <c:noMultiLvlLbl val="0"/>
      </c:catAx>
      <c:valAx>
        <c:axId val="295277583"/>
        <c:scaling>
          <c:orientation val="minMax"/>
        </c:scaling>
        <c:delete val="1"/>
        <c:axPos val="l"/>
        <c:numFmt formatCode="0.00%" sourceLinked="1"/>
        <c:majorTickMark val="none"/>
        <c:minorTickMark val="none"/>
        <c:tickLblPos val="nextTo"/>
        <c:crossAx val="20629228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137160</xdr:colOff>
      <xdr:row>10</xdr:row>
      <xdr:rowOff>7620</xdr:rowOff>
    </xdr:from>
    <xdr:to>
      <xdr:col>3</xdr:col>
      <xdr:colOff>640080</xdr:colOff>
      <xdr:row>22</xdr:row>
      <xdr:rowOff>121920</xdr:rowOff>
    </xdr:to>
    <xdr:graphicFrame macro="">
      <xdr:nvGraphicFramePr>
        <xdr:cNvPr id="2" name="Chart 1">
          <a:extLst>
            <a:ext uri="{FF2B5EF4-FFF2-40B4-BE49-F238E27FC236}">
              <a16:creationId xmlns:a16="http://schemas.microsoft.com/office/drawing/2014/main" id="{E317CCDA-49DC-B4AC-B9C0-5A462BCEAE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723900</xdr:colOff>
      <xdr:row>10</xdr:row>
      <xdr:rowOff>7620</xdr:rowOff>
    </xdr:from>
    <xdr:to>
      <xdr:col>6</xdr:col>
      <xdr:colOff>556260</xdr:colOff>
      <xdr:row>22</xdr:row>
      <xdr:rowOff>100263</xdr:rowOff>
    </xdr:to>
    <xdr:graphicFrame macro="">
      <xdr:nvGraphicFramePr>
        <xdr:cNvPr id="3" name="Chart 2">
          <a:extLst>
            <a:ext uri="{FF2B5EF4-FFF2-40B4-BE49-F238E27FC236}">
              <a16:creationId xmlns:a16="http://schemas.microsoft.com/office/drawing/2014/main" id="{7B9692D8-C3CD-D0ED-133C-3447CD95A0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716280</xdr:colOff>
      <xdr:row>9</xdr:row>
      <xdr:rowOff>160020</xdr:rowOff>
    </xdr:from>
    <xdr:to>
      <xdr:col>9</xdr:col>
      <xdr:colOff>548640</xdr:colOff>
      <xdr:row>22</xdr:row>
      <xdr:rowOff>114300</xdr:rowOff>
    </xdr:to>
    <xdr:graphicFrame macro="">
      <xdr:nvGraphicFramePr>
        <xdr:cNvPr id="4" name="Chart 3">
          <a:extLst>
            <a:ext uri="{FF2B5EF4-FFF2-40B4-BE49-F238E27FC236}">
              <a16:creationId xmlns:a16="http://schemas.microsoft.com/office/drawing/2014/main" id="{8D8A167D-8F18-5244-A6A1-9BC79423C6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777240</xdr:colOff>
      <xdr:row>9</xdr:row>
      <xdr:rowOff>144780</xdr:rowOff>
    </xdr:from>
    <xdr:to>
      <xdr:col>12</xdr:col>
      <xdr:colOff>502920</xdr:colOff>
      <xdr:row>22</xdr:row>
      <xdr:rowOff>120316</xdr:rowOff>
    </xdr:to>
    <xdr:graphicFrame macro="">
      <xdr:nvGraphicFramePr>
        <xdr:cNvPr id="5" name="Chart 4">
          <a:extLst>
            <a:ext uri="{FF2B5EF4-FFF2-40B4-BE49-F238E27FC236}">
              <a16:creationId xmlns:a16="http://schemas.microsoft.com/office/drawing/2014/main" id="{43D596D5-0AAB-4F37-F76A-E8B2E2BB2E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0</xdr:col>
      <xdr:colOff>293937</xdr:colOff>
      <xdr:row>0</xdr:row>
      <xdr:rowOff>402916</xdr:rowOff>
    </xdr:from>
    <xdr:ext cx="12897184" cy="396000"/>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0F30A61A-F606-4EFF-8F9D-DF254C03E0F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93937" y="402916"/>
              <a:ext cx="12897184" cy="39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xdr:col>
      <xdr:colOff>655320</xdr:colOff>
      <xdr:row>2</xdr:row>
      <xdr:rowOff>304800</xdr:rowOff>
    </xdr:from>
    <xdr:to>
      <xdr:col>2</xdr:col>
      <xdr:colOff>685800</xdr:colOff>
      <xdr:row>2</xdr:row>
      <xdr:rowOff>678180</xdr:rowOff>
    </xdr:to>
    <xdr:sp macro="" textlink="">
      <xdr:nvSpPr>
        <xdr:cNvPr id="7" name="Speech Bubble: Rectangle with Corners Rounded 6">
          <a:extLst>
            <a:ext uri="{FF2B5EF4-FFF2-40B4-BE49-F238E27FC236}">
              <a16:creationId xmlns:a16="http://schemas.microsoft.com/office/drawing/2014/main" id="{E1DBEA38-1AB7-0A00-B4CA-243217415017}"/>
            </a:ext>
          </a:extLst>
        </xdr:cNvPr>
        <xdr:cNvSpPr/>
      </xdr:nvSpPr>
      <xdr:spPr>
        <a:xfrm>
          <a:off x="1264920" y="487680"/>
          <a:ext cx="1082040" cy="373380"/>
        </a:xfrm>
        <a:prstGeom prst="wedgeRoundRectCallout">
          <a:avLst/>
        </a:prstGeom>
        <a:solidFill>
          <a:srgbClr val="F4F9A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815340</xdr:colOff>
      <xdr:row>2</xdr:row>
      <xdr:rowOff>320040</xdr:rowOff>
    </xdr:from>
    <xdr:to>
      <xdr:col>11</xdr:col>
      <xdr:colOff>716280</xdr:colOff>
      <xdr:row>2</xdr:row>
      <xdr:rowOff>693420</xdr:rowOff>
    </xdr:to>
    <xdr:sp macro="" textlink="">
      <xdr:nvSpPr>
        <xdr:cNvPr id="8" name="Speech Bubble: Rectangle with Corners Rounded 7">
          <a:extLst>
            <a:ext uri="{FF2B5EF4-FFF2-40B4-BE49-F238E27FC236}">
              <a16:creationId xmlns:a16="http://schemas.microsoft.com/office/drawing/2014/main" id="{D4EA703D-27C8-36B7-311A-6268AD8643C8}"/>
            </a:ext>
          </a:extLst>
        </xdr:cNvPr>
        <xdr:cNvSpPr/>
      </xdr:nvSpPr>
      <xdr:spPr>
        <a:xfrm>
          <a:off x="10271760" y="502920"/>
          <a:ext cx="1082040" cy="373380"/>
        </a:xfrm>
        <a:prstGeom prst="wedgeRoundRectCallout">
          <a:avLst/>
        </a:prstGeom>
        <a:solidFill>
          <a:srgbClr val="F4F9A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746760</xdr:colOff>
      <xdr:row>2</xdr:row>
      <xdr:rowOff>342900</xdr:rowOff>
    </xdr:from>
    <xdr:to>
      <xdr:col>8</xdr:col>
      <xdr:colOff>716280</xdr:colOff>
      <xdr:row>2</xdr:row>
      <xdr:rowOff>716280</xdr:rowOff>
    </xdr:to>
    <xdr:sp macro="" textlink="">
      <xdr:nvSpPr>
        <xdr:cNvPr id="9" name="Speech Bubble: Rectangle with Corners Rounded 8">
          <a:extLst>
            <a:ext uri="{FF2B5EF4-FFF2-40B4-BE49-F238E27FC236}">
              <a16:creationId xmlns:a16="http://schemas.microsoft.com/office/drawing/2014/main" id="{B1BEDE46-0705-49D0-57B6-3DC584495276}"/>
            </a:ext>
          </a:extLst>
        </xdr:cNvPr>
        <xdr:cNvSpPr/>
      </xdr:nvSpPr>
      <xdr:spPr>
        <a:xfrm>
          <a:off x="7033260" y="1394178"/>
          <a:ext cx="1084298" cy="373380"/>
        </a:xfrm>
        <a:prstGeom prst="wedgeRoundRectCallout">
          <a:avLst/>
        </a:prstGeom>
        <a:solidFill>
          <a:srgbClr val="F4F9A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777240</xdr:colOff>
      <xdr:row>2</xdr:row>
      <xdr:rowOff>312420</xdr:rowOff>
    </xdr:from>
    <xdr:to>
      <xdr:col>5</xdr:col>
      <xdr:colOff>678180</xdr:colOff>
      <xdr:row>2</xdr:row>
      <xdr:rowOff>685800</xdr:rowOff>
    </xdr:to>
    <xdr:sp macro="" textlink="">
      <xdr:nvSpPr>
        <xdr:cNvPr id="10" name="Speech Bubble: Rectangle with Corners Rounded 9">
          <a:extLst>
            <a:ext uri="{FF2B5EF4-FFF2-40B4-BE49-F238E27FC236}">
              <a16:creationId xmlns:a16="http://schemas.microsoft.com/office/drawing/2014/main" id="{047C74A8-A4B6-E1D2-F17D-324A934AC75C}"/>
            </a:ext>
          </a:extLst>
        </xdr:cNvPr>
        <xdr:cNvSpPr/>
      </xdr:nvSpPr>
      <xdr:spPr>
        <a:xfrm>
          <a:off x="4198620" y="495300"/>
          <a:ext cx="1082040" cy="373380"/>
        </a:xfrm>
        <a:prstGeom prst="wedgeRoundRectCallout">
          <a:avLst/>
        </a:prstGeom>
        <a:solidFill>
          <a:srgbClr val="F4F9A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xdr:col>
          <xdr:colOff>769620</xdr:colOff>
          <xdr:row>2</xdr:row>
          <xdr:rowOff>426720</xdr:rowOff>
        </xdr:from>
        <xdr:to>
          <xdr:col>2</xdr:col>
          <xdr:colOff>655320</xdr:colOff>
          <xdr:row>2</xdr:row>
          <xdr:rowOff>655320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883920</xdr:colOff>
          <xdr:row>2</xdr:row>
          <xdr:rowOff>381000</xdr:rowOff>
        </xdr:from>
        <xdr:to>
          <xdr:col>5</xdr:col>
          <xdr:colOff>548640</xdr:colOff>
          <xdr:row>2</xdr:row>
          <xdr:rowOff>617220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861060</xdr:colOff>
          <xdr:row>2</xdr:row>
          <xdr:rowOff>403860</xdr:rowOff>
        </xdr:from>
        <xdr:to>
          <xdr:col>8</xdr:col>
          <xdr:colOff>525780</xdr:colOff>
          <xdr:row>2</xdr:row>
          <xdr:rowOff>624840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929640</xdr:colOff>
          <xdr:row>2</xdr:row>
          <xdr:rowOff>396240</xdr:rowOff>
        </xdr:from>
        <xdr:to>
          <xdr:col>11</xdr:col>
          <xdr:colOff>617220</xdr:colOff>
          <xdr:row>2</xdr:row>
          <xdr:rowOff>617220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5</xdr:col>
      <xdr:colOff>0</xdr:colOff>
      <xdr:row>0</xdr:row>
      <xdr:rowOff>23007</xdr:rowOff>
    </xdr:from>
    <xdr:to>
      <xdr:col>8</xdr:col>
      <xdr:colOff>1223211</xdr:colOff>
      <xdr:row>0</xdr:row>
      <xdr:rowOff>350921</xdr:rowOff>
    </xdr:to>
    <xdr:sp macro="" textlink="">
      <xdr:nvSpPr>
        <xdr:cNvPr id="11" name="TextBox 10">
          <a:extLst>
            <a:ext uri="{FF2B5EF4-FFF2-40B4-BE49-F238E27FC236}">
              <a16:creationId xmlns:a16="http://schemas.microsoft.com/office/drawing/2014/main" id="{0F84D0D7-3A86-574C-17AC-D32400B3B2C0}"/>
            </a:ext>
          </a:extLst>
        </xdr:cNvPr>
        <xdr:cNvSpPr txBox="1"/>
      </xdr:nvSpPr>
      <xdr:spPr>
        <a:xfrm>
          <a:off x="4612105" y="23007"/>
          <a:ext cx="4040606" cy="327914"/>
        </a:xfrm>
        <a:prstGeom prst="rect">
          <a:avLst/>
        </a:prstGeom>
        <a:solidFill>
          <a:srgbClr val="00206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bg1"/>
              </a:solidFill>
            </a:rPr>
            <a:t>Sales Executive</a:t>
          </a:r>
          <a:r>
            <a:rPr lang="en-IN" sz="1800" b="1" baseline="0">
              <a:solidFill>
                <a:schemeClr val="bg1"/>
              </a:solidFill>
            </a:rPr>
            <a:t> Performance Dashboard</a:t>
          </a:r>
          <a:endParaRPr lang="en-IN" sz="1800" b="1">
            <a:solidFill>
              <a:schemeClr val="bg1"/>
            </a:solidFill>
          </a:endParaRPr>
        </a:p>
      </xdr:txBody>
    </xdr:sp>
    <xdr:clientData/>
  </xdr:twoCellAnchor>
  <xdr:twoCellAnchor>
    <xdr:from>
      <xdr:col>3</xdr:col>
      <xdr:colOff>184173</xdr:colOff>
      <xdr:row>1</xdr:row>
      <xdr:rowOff>311903</xdr:rowOff>
    </xdr:from>
    <xdr:to>
      <xdr:col>3</xdr:col>
      <xdr:colOff>1008335</xdr:colOff>
      <xdr:row>2</xdr:row>
      <xdr:rowOff>50848</xdr:rowOff>
    </xdr:to>
    <xdr:sp macro="" textlink="">
      <xdr:nvSpPr>
        <xdr:cNvPr id="18" name="TextBox 17">
          <a:extLst>
            <a:ext uri="{FF2B5EF4-FFF2-40B4-BE49-F238E27FC236}">
              <a16:creationId xmlns:a16="http://schemas.microsoft.com/office/drawing/2014/main" id="{42CD1B79-BED3-3E84-DC07-64AB30351BCE}"/>
            </a:ext>
          </a:extLst>
        </xdr:cNvPr>
        <xdr:cNvSpPr txBox="1"/>
      </xdr:nvSpPr>
      <xdr:spPr>
        <a:xfrm>
          <a:off x="2751632" y="1204335"/>
          <a:ext cx="824162" cy="233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ysClr val="windowText" lastClr="000000"/>
              </a:solidFill>
            </a:rPr>
            <a:t>Total</a:t>
          </a:r>
          <a:r>
            <a:rPr lang="en-IN" sz="1100" b="1" baseline="0">
              <a:solidFill>
                <a:sysClr val="windowText" lastClr="000000"/>
              </a:solidFill>
            </a:rPr>
            <a:t> Sales</a:t>
          </a:r>
          <a:endParaRPr lang="en-IN" sz="1100" b="1">
            <a:solidFill>
              <a:sysClr val="windowText" lastClr="000000"/>
            </a:solidFill>
          </a:endParaRPr>
        </a:p>
      </xdr:txBody>
    </xdr:sp>
    <xdr:clientData/>
  </xdr:twoCellAnchor>
  <xdr:twoCellAnchor>
    <xdr:from>
      <xdr:col>3</xdr:col>
      <xdr:colOff>59119</xdr:colOff>
      <xdr:row>1</xdr:row>
      <xdr:rowOff>87454</xdr:rowOff>
    </xdr:from>
    <xdr:to>
      <xdr:col>4</xdr:col>
      <xdr:colOff>65689</xdr:colOff>
      <xdr:row>2</xdr:row>
      <xdr:rowOff>65689</xdr:rowOff>
    </xdr:to>
    <xdr:sp macro="" textlink="">
      <xdr:nvSpPr>
        <xdr:cNvPr id="15" name="Rectangle: Rounded Corners 14">
          <a:extLst>
            <a:ext uri="{FF2B5EF4-FFF2-40B4-BE49-F238E27FC236}">
              <a16:creationId xmlns:a16="http://schemas.microsoft.com/office/drawing/2014/main" id="{A11984C5-D8DE-F9C7-E272-D3BFC54D8615}"/>
            </a:ext>
          </a:extLst>
        </xdr:cNvPr>
        <xdr:cNvSpPr/>
      </xdr:nvSpPr>
      <xdr:spPr>
        <a:xfrm>
          <a:off x="2626578" y="979886"/>
          <a:ext cx="1029435" cy="472506"/>
        </a:xfrm>
        <a:prstGeom prst="roundRect">
          <a:avLst/>
        </a:prstGeom>
        <a:noFill/>
        <a:ln>
          <a:solidFill>
            <a:srgbClr val="0070C0"/>
          </a:solidFill>
        </a:ln>
        <a:effectLst>
          <a:glow rad="635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860778</xdr:colOff>
      <xdr:row>1</xdr:row>
      <xdr:rowOff>321732</xdr:rowOff>
    </xdr:from>
    <xdr:to>
      <xdr:col>6</xdr:col>
      <xdr:colOff>111672</xdr:colOff>
      <xdr:row>2</xdr:row>
      <xdr:rowOff>60677</xdr:rowOff>
    </xdr:to>
    <xdr:sp macro="" textlink="">
      <xdr:nvSpPr>
        <xdr:cNvPr id="16" name="TextBox 15">
          <a:extLst>
            <a:ext uri="{FF2B5EF4-FFF2-40B4-BE49-F238E27FC236}">
              <a16:creationId xmlns:a16="http://schemas.microsoft.com/office/drawing/2014/main" id="{E354F2FC-ECB6-6969-BD55-57326BBFBDCC}"/>
            </a:ext>
          </a:extLst>
        </xdr:cNvPr>
        <xdr:cNvSpPr txBox="1"/>
      </xdr:nvSpPr>
      <xdr:spPr>
        <a:xfrm>
          <a:off x="4451102" y="1214164"/>
          <a:ext cx="1626138" cy="233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ysClr val="windowText" lastClr="000000"/>
              </a:solidFill>
            </a:rPr>
            <a:t>Region Wise Total</a:t>
          </a:r>
          <a:r>
            <a:rPr lang="en-IN" sz="1100" b="1" baseline="0">
              <a:solidFill>
                <a:sysClr val="windowText" lastClr="000000"/>
              </a:solidFill>
            </a:rPr>
            <a:t> Sales</a:t>
          </a:r>
          <a:endParaRPr lang="en-IN" sz="1100" b="1">
            <a:solidFill>
              <a:sysClr val="windowText" lastClr="000000"/>
            </a:solidFill>
          </a:endParaRPr>
        </a:p>
      </xdr:txBody>
    </xdr:sp>
    <xdr:clientData/>
  </xdr:twoCellAnchor>
  <xdr:twoCellAnchor>
    <xdr:from>
      <xdr:col>4</xdr:col>
      <xdr:colOff>879121</xdr:colOff>
      <xdr:row>1</xdr:row>
      <xdr:rowOff>118830</xdr:rowOff>
    </xdr:from>
    <xdr:to>
      <xdr:col>6</xdr:col>
      <xdr:colOff>13139</xdr:colOff>
      <xdr:row>2</xdr:row>
      <xdr:rowOff>73675</xdr:rowOff>
    </xdr:to>
    <xdr:sp macro="" textlink="">
      <xdr:nvSpPr>
        <xdr:cNvPr id="19" name="Rectangle: Rounded Corners 18">
          <a:extLst>
            <a:ext uri="{FF2B5EF4-FFF2-40B4-BE49-F238E27FC236}">
              <a16:creationId xmlns:a16="http://schemas.microsoft.com/office/drawing/2014/main" id="{8DA02A57-7028-4C07-3E39-F6A99912F09A}"/>
            </a:ext>
          </a:extLst>
        </xdr:cNvPr>
        <xdr:cNvSpPr/>
      </xdr:nvSpPr>
      <xdr:spPr>
        <a:xfrm>
          <a:off x="4469445" y="1011262"/>
          <a:ext cx="1509262" cy="449116"/>
        </a:xfrm>
        <a:prstGeom prst="roundRect">
          <a:avLst/>
        </a:prstGeom>
        <a:noFill/>
        <a:ln>
          <a:solidFill>
            <a:srgbClr val="0070C0"/>
          </a:solidFill>
        </a:ln>
        <a:effectLst>
          <a:glow rad="635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90756</xdr:colOff>
      <xdr:row>1</xdr:row>
      <xdr:rowOff>343790</xdr:rowOff>
    </xdr:from>
    <xdr:to>
      <xdr:col>8</xdr:col>
      <xdr:colOff>541197</xdr:colOff>
      <xdr:row>2</xdr:row>
      <xdr:rowOff>82735</xdr:rowOff>
    </xdr:to>
    <xdr:sp macro="" textlink="">
      <xdr:nvSpPr>
        <xdr:cNvPr id="20" name="TextBox 19">
          <a:extLst>
            <a:ext uri="{FF2B5EF4-FFF2-40B4-BE49-F238E27FC236}">
              <a16:creationId xmlns:a16="http://schemas.microsoft.com/office/drawing/2014/main" id="{8D6698F2-0C6C-D247-B111-A07ABD1C057C}"/>
            </a:ext>
          </a:extLst>
        </xdr:cNvPr>
        <xdr:cNvSpPr txBox="1"/>
      </xdr:nvSpPr>
      <xdr:spPr>
        <a:xfrm>
          <a:off x="7044864" y="1236222"/>
          <a:ext cx="1562549" cy="233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ysClr val="windowText" lastClr="000000"/>
              </a:solidFill>
            </a:rPr>
            <a:t>Target Achievement %</a:t>
          </a:r>
        </a:p>
      </xdr:txBody>
    </xdr:sp>
    <xdr:clientData/>
  </xdr:twoCellAnchor>
  <xdr:twoCellAnchor>
    <xdr:from>
      <xdr:col>7</xdr:col>
      <xdr:colOff>89046</xdr:colOff>
      <xdr:row>1</xdr:row>
      <xdr:rowOff>130862</xdr:rowOff>
    </xdr:from>
    <xdr:to>
      <xdr:col>8</xdr:col>
      <xdr:colOff>381000</xdr:colOff>
      <xdr:row>2</xdr:row>
      <xdr:rowOff>85707</xdr:rowOff>
    </xdr:to>
    <xdr:sp macro="" textlink="">
      <xdr:nvSpPr>
        <xdr:cNvPr id="21" name="Rectangle: Rounded Corners 20">
          <a:extLst>
            <a:ext uri="{FF2B5EF4-FFF2-40B4-BE49-F238E27FC236}">
              <a16:creationId xmlns:a16="http://schemas.microsoft.com/office/drawing/2014/main" id="{538D080D-E4B2-27F2-775C-B9BFFF6F3C46}"/>
            </a:ext>
          </a:extLst>
        </xdr:cNvPr>
        <xdr:cNvSpPr/>
      </xdr:nvSpPr>
      <xdr:spPr>
        <a:xfrm>
          <a:off x="7036693" y="1027333"/>
          <a:ext cx="1397601" cy="447903"/>
        </a:xfrm>
        <a:prstGeom prst="roundRect">
          <a:avLst/>
        </a:prstGeom>
        <a:noFill/>
        <a:ln>
          <a:solidFill>
            <a:srgbClr val="0070C0"/>
          </a:solidFill>
        </a:ln>
        <a:effectLst>
          <a:glow rad="635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1075340</xdr:colOff>
      <xdr:row>1</xdr:row>
      <xdr:rowOff>355823</xdr:rowOff>
    </xdr:from>
    <xdr:to>
      <xdr:col>10</xdr:col>
      <xdr:colOff>382781</xdr:colOff>
      <xdr:row>2</xdr:row>
      <xdr:rowOff>94768</xdr:rowOff>
    </xdr:to>
    <xdr:sp macro="" textlink="">
      <xdr:nvSpPr>
        <xdr:cNvPr id="22" name="TextBox 21">
          <a:extLst>
            <a:ext uri="{FF2B5EF4-FFF2-40B4-BE49-F238E27FC236}">
              <a16:creationId xmlns:a16="http://schemas.microsoft.com/office/drawing/2014/main" id="{93D2C828-78F5-02A3-D597-2E376E26CCB8}"/>
            </a:ext>
          </a:extLst>
        </xdr:cNvPr>
        <xdr:cNvSpPr txBox="1"/>
      </xdr:nvSpPr>
      <xdr:spPr>
        <a:xfrm>
          <a:off x="8504840" y="1248165"/>
          <a:ext cx="1563362" cy="230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ysClr val="windowText" lastClr="000000"/>
              </a:solidFill>
            </a:rPr>
            <a:t>Critical Performer</a:t>
          </a:r>
          <a:r>
            <a:rPr lang="en-IN" sz="1100" b="1" baseline="0">
              <a:solidFill>
                <a:sysClr val="windowText" lastClr="000000"/>
              </a:solidFill>
            </a:rPr>
            <a:t> </a:t>
          </a:r>
          <a:r>
            <a:rPr lang="en-IN" sz="1100" b="1">
              <a:solidFill>
                <a:sysClr val="windowText" lastClr="000000"/>
              </a:solidFill>
            </a:rPr>
            <a:t>%</a:t>
          </a:r>
        </a:p>
      </xdr:txBody>
    </xdr:sp>
    <xdr:clientData/>
  </xdr:twoCellAnchor>
  <xdr:twoCellAnchor>
    <xdr:from>
      <xdr:col>8</xdr:col>
      <xdr:colOff>1053578</xdr:colOff>
      <xdr:row>1</xdr:row>
      <xdr:rowOff>142895</xdr:rowOff>
    </xdr:from>
    <xdr:to>
      <xdr:col>10</xdr:col>
      <xdr:colOff>202532</xdr:colOff>
      <xdr:row>2</xdr:row>
      <xdr:rowOff>97740</xdr:rowOff>
    </xdr:to>
    <xdr:sp macro="" textlink="">
      <xdr:nvSpPr>
        <xdr:cNvPr id="23" name="Rectangle: Rounded Corners 22">
          <a:extLst>
            <a:ext uri="{FF2B5EF4-FFF2-40B4-BE49-F238E27FC236}">
              <a16:creationId xmlns:a16="http://schemas.microsoft.com/office/drawing/2014/main" id="{97726E4A-E247-68D9-B887-60AD5AE607B6}"/>
            </a:ext>
          </a:extLst>
        </xdr:cNvPr>
        <xdr:cNvSpPr/>
      </xdr:nvSpPr>
      <xdr:spPr>
        <a:xfrm>
          <a:off x="8483078" y="1035237"/>
          <a:ext cx="1404875" cy="446135"/>
        </a:xfrm>
        <a:prstGeom prst="roundRect">
          <a:avLst/>
        </a:prstGeom>
        <a:noFill/>
        <a:ln>
          <a:solidFill>
            <a:srgbClr val="0070C0"/>
          </a:solidFill>
        </a:ln>
        <a:effectLst>
          <a:glow rad="635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asmika/Downloads/Excel%20for%20Data%20Analysis-20251222T053920Z-1-001/Excel%20for%20Data%20Analysis/Chapter%20-%2010%20-%20End%20to%20End%20Project%20using%20Excel.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6E3F4B0-EF57-42C5-A5C5-2055CE082BF4}">
  <cacheSource type="worksheet">
    <worksheetSource ref="A1:L142" sheet="RAW DATA" r:id="rId2"/>
  </cacheSource>
  <cacheFields count="13">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 name="Target_Achivement%" numFmtId="0" formula="'Total Sales' /Target *100" databaseField="0"/>
  </cacheFields>
  <extLst>
    <ext xmlns:x14="http://schemas.microsoft.com/office/spreadsheetml/2009/9/main" uri="{725AE2AE-9491-48be-B2B4-4EB974FC3084}">
      <x14:pivotCacheDefinition pivotCacheId="102772332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mika" refreshedDate="46017.498755324072" createdVersion="8" refreshedVersion="8" minRefreshableVersion="3" recordCount="141" xr:uid="{D0288FC7-A14C-4BAC-9DF7-3CE3821328B0}">
  <cacheSource type="worksheet">
    <worksheetSource name="Table2"/>
  </cacheSource>
  <cacheFields count="16">
    <cacheField name="Emp Code" numFmtId="14">
      <sharedItems/>
    </cacheField>
    <cacheField name="Sales Executive" numFmtId="0">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 name="KPI Score" numFmtId="0">
      <sharedItems containsSemiMixedTypes="0" containsString="0" containsNumber="1" minValue="28.599999999999998" maxValue="77.8"/>
    </cacheField>
    <cacheField name="KPI Rating" numFmtId="0">
      <sharedItems/>
    </cacheField>
    <cacheField name="KPI Ranking" numFmtId="0">
      <sharedItems containsSemiMixedTypes="0" containsString="0" containsNumber="1" containsInteger="1" minValue="1" maxValue="141"/>
    </cacheField>
    <cacheField name="Target_Achievement" numFmtId="0" formula="'Total Sales' /Target"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ika" refreshedDate="46070.497704398149" backgroundQuery="1" createdVersion="8" refreshedVersion="8" minRefreshableVersion="3" recordCount="0" supportSubquery="1" supportAdvancedDrill="1" xr:uid="{72E91FD8-65A7-4FC3-85CD-F9DF17EF097C}">
  <cacheSource type="external" connectionId="1"/>
  <cacheFields count="1">
    <cacheField name="[Measures].[Critical Count]" caption="Critical Count" numFmtId="0" hierarchy="16" level="32767"/>
  </cacheFields>
  <cacheHierarchies count="30">
    <cacheHierarchy uniqueName="[Table2].[Emp Code]" caption="Emp Code" attribute="1" defaultMemberUniqueName="[Table2].[Emp Code].[All]" allUniqueName="[Table2].[Emp Code].[All]" dimensionUniqueName="[Table2]" displayFolder="" count="0" memberValueDatatype="130" unbalanced="0"/>
    <cacheHierarchy uniqueName="[Table2].[Sales Executive]" caption="Sales Executive" attribute="1" defaultMemberUniqueName="[Table2].[Sales Executive].[All]" allUniqueName="[Table2].[Sales Executive].[All]" dimensionUniqueName="[Table2]" displayFolder="" count="0" memberValueDatatype="130" unbalanced="0"/>
    <cacheHierarchy uniqueName="[Table2].[Region]" caption="Region" attribute="1" defaultMemberUniqueName="[Table2].[Region].[All]" allUniqueName="[Table2].[Region].[All]" dimensionUniqueName="[Table2]" displayFolder="" count="0" memberValueDatatype="130" unbalanced="0"/>
    <cacheHierarchy uniqueName="[Table2].[Day1]" caption="Day1" attribute="1" defaultMemberUniqueName="[Table2].[Day1].[All]" allUniqueName="[Table2].[Day1].[All]" dimensionUniqueName="[Table2]" displayFolder="" count="0" memberValueDatatype="20" unbalanced="0"/>
    <cacheHierarchy uniqueName="[Table2].[Day2]" caption="Day2" attribute="1" defaultMemberUniqueName="[Table2].[Day2].[All]" allUniqueName="[Table2].[Day2].[All]" dimensionUniqueName="[Table2]" displayFolder="" count="0" memberValueDatatype="20" unbalanced="0"/>
    <cacheHierarchy uniqueName="[Table2].[Day3]" caption="Day3" attribute="1" defaultMemberUniqueName="[Table2].[Day3].[All]" allUniqueName="[Table2].[Day3].[All]" dimensionUniqueName="[Table2]" displayFolder="" count="0" memberValueDatatype="20" unbalanced="0"/>
    <cacheHierarchy uniqueName="[Table2].[Day4]" caption="Day4" attribute="1" defaultMemberUniqueName="[Table2].[Day4].[All]" allUniqueName="[Table2].[Day4].[All]" dimensionUniqueName="[Table2]" displayFolder="" count="0" memberValueDatatype="20" unbalanced="0"/>
    <cacheHierarchy uniqueName="[Table2].[Day5]" caption="Day5" attribute="1" defaultMemberUniqueName="[Table2].[Day5].[All]" allUniqueName="[Table2].[Day5].[All]" dimensionUniqueName="[Table2]" displayFolder="" count="0" memberValueDatatype="20" unbalanced="0"/>
    <cacheHierarchy uniqueName="[Table2].[Total Sales]" caption="Total Sales" attribute="1" defaultMemberUniqueName="[Table2].[Total Sales].[All]" allUniqueName="[Table2].[Total Sales].[All]" dimensionUniqueName="[Table2]" displayFolder="" count="0" memberValueDatatype="20" unbalanced="0"/>
    <cacheHierarchy uniqueName="[Table2].[Target]" caption="Target" attribute="1" defaultMemberUniqueName="[Table2].[Target].[All]" allUniqueName="[Table2].[Target].[All]" dimensionUniqueName="[Table2]" displayFolder="" count="0" memberValueDatatype="20" unbalanced="0"/>
    <cacheHierarchy uniqueName="[Table2].[Target Hit %]" caption="Target Hit %" attribute="1" defaultMemberUniqueName="[Table2].[Target Hit %].[All]" allUniqueName="[Table2].[Target Hit %].[All]" dimensionUniqueName="[Table2]" displayFolder="" count="0" memberValueDatatype="5" unbalanced="0"/>
    <cacheHierarchy uniqueName="[Table2].[Away From Target %]" caption="Away From Target %" attribute="1" defaultMemberUniqueName="[Table2].[Away From Target %].[All]" allUniqueName="[Table2].[Away From Target %].[All]" dimensionUniqueName="[Table2]" displayFolder="" count="0" memberValueDatatype="5" unbalanced="0"/>
    <cacheHierarchy uniqueName="[Table2].[KPI Score]" caption="KPI Score" attribute="1" defaultMemberUniqueName="[Table2].[KPI Score].[All]" allUniqueName="[Table2].[KPI Score].[All]" dimensionUniqueName="[Table2]" displayFolder="" count="0" memberValueDatatype="5" unbalanced="0"/>
    <cacheHierarchy uniqueName="[Table2].[KPI Rating]" caption="KPI Rating" attribute="1" defaultMemberUniqueName="[Table2].[KPI Rating].[All]" allUniqueName="[Table2].[KPI Rating].[All]" dimensionUniqueName="[Table2]" displayFolder="" count="0" memberValueDatatype="130" unbalanced="0"/>
    <cacheHierarchy uniqueName="[Table2].[KPI Ranking]" caption="KPI Ranking" attribute="1" defaultMemberUniqueName="[Table2].[KPI Ranking].[All]" allUniqueName="[Table2].[KPI Ranking].[All]" dimensionUniqueName="[Table2]" displayFolder="" count="0" memberValueDatatype="20" unbalanced="0"/>
    <cacheHierarchy uniqueName="[Measures].[Final Sales]" caption="Final Sales" measure="1" displayFolder="" measureGroup="Table2" count="0"/>
    <cacheHierarchy uniqueName="[Measures].[Critical Count]" caption="Critical Count" measure="1" displayFolder="" measureGroup="Table2" count="0" oneField="1">
      <fieldsUsage count="1">
        <fieldUsage x="0"/>
      </fieldsUsage>
    </cacheHierarchy>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Day1]" caption="Sum of Day1" measure="1" displayFolder="" measureGroup="Table2" count="0" hidden="1">
      <extLst>
        <ext xmlns:x15="http://schemas.microsoft.com/office/spreadsheetml/2010/11/main" uri="{B97F6D7D-B522-45F9-BDA1-12C45D357490}">
          <x15:cacheHierarchy aggregatedColumn="3"/>
        </ext>
      </extLst>
    </cacheHierarchy>
    <cacheHierarchy uniqueName="[Measures].[Sum of KPI Ranking]" caption="Sum of KPI Ranking" measure="1" displayFolder="" measureGroup="Table2" count="0" hidden="1">
      <extLst>
        <ext xmlns:x15="http://schemas.microsoft.com/office/spreadsheetml/2010/11/main" uri="{B97F6D7D-B522-45F9-BDA1-12C45D357490}">
          <x15:cacheHierarchy aggregatedColumn="14"/>
        </ext>
      </extLst>
    </cacheHierarchy>
    <cacheHierarchy uniqueName="[Measures].[Sum of Day2]" caption="Sum of Day2" measure="1" displayFolder="" measureGroup="Table2" count="0" hidden="1">
      <extLst>
        <ext xmlns:x15="http://schemas.microsoft.com/office/spreadsheetml/2010/11/main" uri="{B97F6D7D-B522-45F9-BDA1-12C45D357490}">
          <x15:cacheHierarchy aggregatedColumn="4"/>
        </ext>
      </extLst>
    </cacheHierarchy>
    <cacheHierarchy uniqueName="[Measures].[Sum of Day3]" caption="Sum of Day3" measure="1" displayFolder="" measureGroup="Table2" count="0" hidden="1">
      <extLst>
        <ext xmlns:x15="http://schemas.microsoft.com/office/spreadsheetml/2010/11/main" uri="{B97F6D7D-B522-45F9-BDA1-12C45D357490}">
          <x15:cacheHierarchy aggregatedColumn="5"/>
        </ext>
      </extLst>
    </cacheHierarchy>
    <cacheHierarchy uniqueName="[Measures].[Sum of Day4]" caption="Sum of Day4" measure="1" displayFolder="" measureGroup="Table2" count="0" hidden="1">
      <extLst>
        <ext xmlns:x15="http://schemas.microsoft.com/office/spreadsheetml/2010/11/main" uri="{B97F6D7D-B522-45F9-BDA1-12C45D357490}">
          <x15:cacheHierarchy aggregatedColumn="6"/>
        </ext>
      </extLst>
    </cacheHierarchy>
    <cacheHierarchy uniqueName="[Measures].[Sum of Target Hit %]" caption="Sum of Target Hit %" measure="1" displayFolder="" measureGroup="Table2" count="0" hidden="1">
      <extLst>
        <ext xmlns:x15="http://schemas.microsoft.com/office/spreadsheetml/2010/11/main" uri="{B97F6D7D-B522-45F9-BDA1-12C45D357490}">
          <x15:cacheHierarchy aggregatedColumn="10"/>
        </ext>
      </extLst>
    </cacheHierarchy>
    <cacheHierarchy uniqueName="[Measures].[Sum of Target]" caption="Sum of Target" measure="1" displayFolder="" measureGroup="Table2" count="0" hidden="1">
      <extLst>
        <ext xmlns:x15="http://schemas.microsoft.com/office/spreadsheetml/2010/11/main" uri="{B97F6D7D-B522-45F9-BDA1-12C45D357490}">
          <x15:cacheHierarchy aggregatedColumn="9"/>
        </ext>
      </extLst>
    </cacheHierarchy>
    <cacheHierarchy uniqueName="[Measures].[Sum of Total Sales]" caption="Sum of Total Sales" measure="1" displayFolder="" measureGroup="Table2" count="0" hidden="1">
      <extLst>
        <ext xmlns:x15="http://schemas.microsoft.com/office/spreadsheetml/2010/11/main" uri="{B97F6D7D-B522-45F9-BDA1-12C45D357490}">
          <x15:cacheHierarchy aggregatedColumn="8"/>
        </ext>
      </extLst>
    </cacheHierarchy>
    <cacheHierarchy uniqueName="[Measures].[Sum of Day5]" caption="Sum of Day5" measure="1" displayFolder="" measureGroup="Table2" count="0" hidden="1">
      <extLst>
        <ext xmlns:x15="http://schemas.microsoft.com/office/spreadsheetml/2010/11/main" uri="{B97F6D7D-B522-45F9-BDA1-12C45D357490}">
          <x15:cacheHierarchy aggregatedColumn="7"/>
        </ext>
      </extLst>
    </cacheHierarchy>
    <cacheHierarchy uniqueName="[Measures].[Sum of Away From Target %]" caption="Sum of Away From Target %" measure="1" displayFolder="" measureGroup="Table2" count="0" hidden="1">
      <extLst>
        <ext xmlns:x15="http://schemas.microsoft.com/office/spreadsheetml/2010/11/main" uri="{B97F6D7D-B522-45F9-BDA1-12C45D357490}">
          <x15:cacheHierarchy aggregatedColumn="11"/>
        </ext>
      </extLst>
    </cacheHierarchy>
    <cacheHierarchy uniqueName="[Measures].[Sum of KPI Score]" caption="Sum of KPI Score" measure="1" displayFolder="" measureGroup="Table2"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s v="Raj Verma"/>
    <x v="0"/>
    <n v="49"/>
    <n v="84"/>
    <n v="98"/>
    <n v="67"/>
    <n v="41"/>
    <x v="0"/>
    <n v="500"/>
    <n v="0.67800000000000005"/>
    <n v="0.32199999999999995"/>
    <n v="67.800000000000011"/>
    <s v="Good"/>
    <n v="24"/>
  </r>
  <r>
    <s v="Mum-TCL002"/>
    <s v="Tanuja Kale"/>
    <x v="1"/>
    <n v="44"/>
    <n v="85"/>
    <n v="47"/>
    <n v="15"/>
    <n v="48"/>
    <x v="1"/>
    <n v="500"/>
    <n v="0.47799999999999998"/>
    <n v="0.52200000000000002"/>
    <n v="47.8"/>
    <s v="Critical"/>
    <n v="99"/>
  </r>
  <r>
    <s v="Mum-TCL003"/>
    <s v="Arvind Sharma"/>
    <x v="2"/>
    <n v="45"/>
    <n v="79"/>
    <n v="88"/>
    <n v="73"/>
    <n v="94"/>
    <x v="2"/>
    <n v="500"/>
    <n v="0.75800000000000001"/>
    <n v="0.24199999999999999"/>
    <n v="75.8"/>
    <s v="Good"/>
    <n v="5"/>
  </r>
  <r>
    <s v="Mum-TCL004"/>
    <s v="Tahira Qureshi"/>
    <x v="3"/>
    <n v="52"/>
    <n v="99"/>
    <n v="13"/>
    <n v="95"/>
    <n v="29"/>
    <x v="3"/>
    <n v="500"/>
    <n v="0.57599999999999996"/>
    <n v="0.42400000000000004"/>
    <n v="57.599999999999994"/>
    <s v="Needs Improvement"/>
    <n v="60"/>
  </r>
  <r>
    <s v="Mum-TCL005"/>
    <s v="Anuj Sharma"/>
    <x v="4"/>
    <n v="35"/>
    <n v="54"/>
    <n v="49"/>
    <n v="26"/>
    <n v="49"/>
    <x v="4"/>
    <n v="500"/>
    <n v="0.42599999999999999"/>
    <n v="0.57400000000000007"/>
    <n v="42.6"/>
    <s v="Critical"/>
    <n v="118"/>
  </r>
  <r>
    <s v="Mum-TCL006"/>
    <s v="Syed Sohail"/>
    <x v="5"/>
    <n v="86"/>
    <n v="31"/>
    <n v="23"/>
    <n v="48"/>
    <n v="77"/>
    <x v="5"/>
    <n v="500"/>
    <n v="0.53"/>
    <n v="0.47"/>
    <n v="53"/>
    <s v="Needs Improvement"/>
    <n v="83"/>
  </r>
  <r>
    <s v="Mum-TCL007"/>
    <s v="Syed Saqib"/>
    <x v="6"/>
    <n v="84"/>
    <n v="28"/>
    <n v="98"/>
    <n v="80"/>
    <n v="79"/>
    <x v="6"/>
    <n v="500"/>
    <n v="0.73799999999999999"/>
    <n v="0.26200000000000001"/>
    <n v="73.8"/>
    <s v="Good"/>
    <n v="9"/>
  </r>
  <r>
    <s v="Mum-TCL008"/>
    <s v="Syed Naved"/>
    <x v="7"/>
    <n v="73"/>
    <n v="97"/>
    <n v="38"/>
    <n v="24"/>
    <n v="53"/>
    <x v="7"/>
    <n v="500"/>
    <n v="0.56999999999999995"/>
    <n v="0.43000000000000005"/>
    <n v="56.999999999999993"/>
    <s v="Needs Improvement"/>
    <n v="67"/>
  </r>
  <r>
    <s v="Mum-TCL009"/>
    <s v="Swarnlata Borse"/>
    <x v="0"/>
    <n v="54"/>
    <n v="26"/>
    <n v="53"/>
    <n v="36"/>
    <n v="20"/>
    <x v="8"/>
    <n v="500"/>
    <n v="0.378"/>
    <n v="0.622"/>
    <n v="37.799999999999997"/>
    <s v="Critical"/>
    <n v="132"/>
  </r>
  <r>
    <s v="Mum-TCL010"/>
    <s v="Sushma Khandelwal"/>
    <x v="1"/>
    <n v="52"/>
    <n v="52"/>
    <n v="19"/>
    <n v="53"/>
    <n v="37"/>
    <x v="4"/>
    <n v="500"/>
    <n v="0.42599999999999999"/>
    <n v="0.57400000000000007"/>
    <n v="42.6"/>
    <s v="Critical"/>
    <n v="118"/>
  </r>
  <r>
    <s v="Mum-TCL011"/>
    <s v="Surendranath Thakur"/>
    <x v="2"/>
    <n v="63"/>
    <n v="17"/>
    <n v="40"/>
    <n v="48"/>
    <n v="51"/>
    <x v="9"/>
    <n v="500"/>
    <n v="0.438"/>
    <n v="0.56200000000000006"/>
    <n v="43.8"/>
    <s v="Critical"/>
    <n v="112"/>
  </r>
  <r>
    <s v="Mum-TCL012"/>
    <s v="Surendra Kumar"/>
    <x v="3"/>
    <n v="79"/>
    <n v="99"/>
    <n v="95"/>
    <n v="12"/>
    <n v="91"/>
    <x v="10"/>
    <n v="500"/>
    <n v="0.752"/>
    <n v="0.248"/>
    <n v="75.2"/>
    <s v="Good"/>
    <n v="6"/>
  </r>
  <r>
    <s v="Mum-TCL013"/>
    <s v="Sunita Madnani"/>
    <x v="4"/>
    <n v="95"/>
    <n v="88"/>
    <n v="11"/>
    <n v="78"/>
    <n v="60"/>
    <x v="11"/>
    <n v="500"/>
    <n v="0.66400000000000003"/>
    <n v="0.33599999999999997"/>
    <n v="66.400000000000006"/>
    <s v="Good"/>
    <n v="26"/>
  </r>
  <r>
    <s v="Mum-TCL014"/>
    <s v="Sunita Chawla"/>
    <x v="5"/>
    <n v="83"/>
    <n v="77"/>
    <n v="66"/>
    <n v="22"/>
    <n v="40"/>
    <x v="3"/>
    <n v="500"/>
    <n v="0.57599999999999996"/>
    <n v="0.42400000000000004"/>
    <n v="57.599999999999994"/>
    <s v="Needs Improvement"/>
    <n v="60"/>
  </r>
  <r>
    <s v="Mum-TCL015"/>
    <s v="Sunil Kumar"/>
    <x v="6"/>
    <n v="78"/>
    <n v="58"/>
    <n v="34"/>
    <n v="84"/>
    <n v="31"/>
    <x v="7"/>
    <n v="500"/>
    <n v="0.56999999999999995"/>
    <n v="0.43000000000000005"/>
    <n v="56.999999999999993"/>
    <s v="Needs Improvement"/>
    <n v="67"/>
  </r>
  <r>
    <s v="Mum-TCL016"/>
    <s v="Sudhir Kumar"/>
    <x v="7"/>
    <n v="14"/>
    <n v="25"/>
    <n v="45"/>
    <n v="70"/>
    <n v="45"/>
    <x v="12"/>
    <n v="500"/>
    <n v="0.39800000000000002"/>
    <n v="0.60199999999999998"/>
    <n v="39.800000000000004"/>
    <s v="Critical"/>
    <n v="129"/>
  </r>
  <r>
    <s v="Mum-TCL017"/>
    <s v="Sudama Kumar"/>
    <x v="0"/>
    <n v="37"/>
    <n v="69"/>
    <n v="96"/>
    <n v="66"/>
    <n v="38"/>
    <x v="13"/>
    <n v="500"/>
    <n v="0.61199999999999999"/>
    <n v="0.38800000000000001"/>
    <n v="61.199999999999996"/>
    <s v="Needs Improvement"/>
    <n v="45"/>
  </r>
  <r>
    <s v="Mum-TCL018"/>
    <s v="Sonaram Munda"/>
    <x v="1"/>
    <n v="11"/>
    <n v="46"/>
    <n v="91"/>
    <n v="98"/>
    <n v="45"/>
    <x v="14"/>
    <n v="500"/>
    <n v="0.58199999999999996"/>
    <n v="0.41800000000000004"/>
    <n v="58.199999999999996"/>
    <s v="Needs Improvement"/>
    <n v="58"/>
  </r>
  <r>
    <s v="Mum-TCL019"/>
    <s v="Sneh Khan"/>
    <x v="2"/>
    <n v="19"/>
    <n v="34"/>
    <n v="64"/>
    <n v="65"/>
    <n v="70"/>
    <x v="15"/>
    <n v="500"/>
    <n v="0.504"/>
    <n v="0.496"/>
    <n v="50.4"/>
    <s v="Needs Improvement"/>
    <n v="91"/>
  </r>
  <r>
    <s v="Mum-TCL020"/>
    <s v="Shyamal Malakar"/>
    <x v="3"/>
    <n v="93"/>
    <n v="84"/>
    <n v="13"/>
    <n v="45"/>
    <n v="18"/>
    <x v="16"/>
    <n v="500"/>
    <n v="0.50600000000000001"/>
    <n v="0.49399999999999999"/>
    <n v="50.6"/>
    <s v="Needs Improvement"/>
    <n v="90"/>
  </r>
  <r>
    <s v="Mum-TCL021"/>
    <s v="Shubhanjali Joshi"/>
    <x v="4"/>
    <n v="68"/>
    <n v="73"/>
    <n v="97"/>
    <n v="76"/>
    <n v="53"/>
    <x v="17"/>
    <n v="500"/>
    <n v="0.73399999999999999"/>
    <n v="0.26600000000000001"/>
    <n v="73.400000000000006"/>
    <s v="Good"/>
    <n v="10"/>
  </r>
  <r>
    <s v="Mum-TCL022"/>
    <s v="Shivji Prasad"/>
    <x v="5"/>
    <n v="99"/>
    <n v="17"/>
    <n v="48"/>
    <n v="44"/>
    <n v="93"/>
    <x v="18"/>
    <n v="500"/>
    <n v="0.60199999999999998"/>
    <n v="0.39800000000000002"/>
    <n v="60.199999999999996"/>
    <s v="Needs Improvement"/>
    <n v="51"/>
  </r>
  <r>
    <s v="Mum-TCL023"/>
    <s v="Shephali Jain"/>
    <x v="6"/>
    <n v="57"/>
    <n v="28"/>
    <n v="31"/>
    <n v="34"/>
    <n v="52"/>
    <x v="19"/>
    <n v="500"/>
    <n v="0.40400000000000003"/>
    <n v="0.59599999999999997"/>
    <n v="40.400000000000006"/>
    <s v="Critical"/>
    <n v="128"/>
  </r>
  <r>
    <s v="Mum-TCL024"/>
    <s v="Sheena Joseph"/>
    <x v="7"/>
    <n v="40"/>
    <n v="22"/>
    <n v="18"/>
    <n v="11"/>
    <n v="92"/>
    <x v="20"/>
    <n v="500"/>
    <n v="0.36599999999999999"/>
    <n v="0.63400000000000001"/>
    <n v="36.6"/>
    <s v="Critical"/>
    <n v="134"/>
  </r>
  <r>
    <s v="Mum-TCL025"/>
    <s v="Sheeba Joseph"/>
    <x v="0"/>
    <n v="47"/>
    <n v="99"/>
    <n v="94"/>
    <n v="75"/>
    <n v="29"/>
    <x v="21"/>
    <n v="500"/>
    <n v="0.68799999999999994"/>
    <n v="0.31200000000000006"/>
    <n v="68.8"/>
    <s v="Good"/>
    <n v="20"/>
  </r>
  <r>
    <s v="Mum-TCL026"/>
    <s v="Shashikant Tiwari"/>
    <x v="1"/>
    <n v="16"/>
    <n v="71"/>
    <n v="80"/>
    <n v="76"/>
    <n v="33"/>
    <x v="22"/>
    <n v="500"/>
    <n v="0.55200000000000005"/>
    <n v="0.44799999999999995"/>
    <n v="55.2"/>
    <s v="Needs Improvement"/>
    <n v="76"/>
  </r>
  <r>
    <s v="Mum-TCL027"/>
    <s v="Shankar Attendant"/>
    <x v="2"/>
    <n v="72"/>
    <n v="87"/>
    <n v="92"/>
    <n v="72"/>
    <n v="34"/>
    <x v="23"/>
    <n v="500"/>
    <n v="0.71399999999999997"/>
    <n v="0.28600000000000003"/>
    <n v="71.399999999999991"/>
    <s v="Good"/>
    <n v="11"/>
  </r>
  <r>
    <s v="Mum-TCL028"/>
    <s v="Shailendra Barge"/>
    <x v="3"/>
    <n v="30"/>
    <n v="38"/>
    <n v="70"/>
    <n v="89"/>
    <n v="97"/>
    <x v="24"/>
    <n v="500"/>
    <n v="0.64800000000000002"/>
    <n v="0.35199999999999998"/>
    <n v="64.8"/>
    <s v="Needs Improvement"/>
    <n v="30"/>
  </r>
  <r>
    <s v="Mum-TCL029"/>
    <s v="Shailaja Kamal"/>
    <x v="4"/>
    <n v="65"/>
    <n v="90"/>
    <n v="91"/>
    <n v="85"/>
    <n v="10"/>
    <x v="25"/>
    <n v="500"/>
    <n v="0.68200000000000005"/>
    <n v="0.31799999999999995"/>
    <n v="68.2"/>
    <s v="Good"/>
    <n v="22"/>
  </r>
  <r>
    <s v="Mum-TCL030"/>
    <s v="Saroj Parita"/>
    <x v="5"/>
    <n v="83"/>
    <n v="46"/>
    <n v="99"/>
    <n v="36"/>
    <n v="89"/>
    <x v="26"/>
    <n v="500"/>
    <n v="0.70599999999999996"/>
    <n v="0.29400000000000004"/>
    <n v="70.599999999999994"/>
    <s v="Good"/>
    <n v="14"/>
  </r>
  <r>
    <s v="Mum-TCL031"/>
    <s v="Sapna Sharma"/>
    <x v="6"/>
    <n v="10"/>
    <n v="66"/>
    <n v="40"/>
    <n v="22"/>
    <n v="38"/>
    <x v="27"/>
    <n v="500"/>
    <n v="0.35199999999999998"/>
    <n v="0.64800000000000002"/>
    <n v="35.199999999999996"/>
    <s v="Critical"/>
    <n v="136"/>
  </r>
  <r>
    <s v="Mum-TCL032"/>
    <s v="Santosh Kumar"/>
    <x v="7"/>
    <n v="37"/>
    <n v="30"/>
    <n v="19"/>
    <n v="77"/>
    <n v="67"/>
    <x v="28"/>
    <n v="500"/>
    <n v="0.46"/>
    <n v="0.54"/>
    <n v="46"/>
    <s v="Critical"/>
    <n v="105"/>
  </r>
  <r>
    <s v="Mum-TCL033"/>
    <s v="Sanju Ramdas"/>
    <x v="0"/>
    <n v="83"/>
    <n v="46"/>
    <n v="17"/>
    <n v="94"/>
    <n v="92"/>
    <x v="11"/>
    <n v="500"/>
    <n v="0.66400000000000003"/>
    <n v="0.33599999999999997"/>
    <n v="66.400000000000006"/>
    <s v="Good"/>
    <n v="26"/>
  </r>
  <r>
    <s v="Mum-TCL034"/>
    <s v="Sanjiv Subherwal"/>
    <x v="1"/>
    <n v="84"/>
    <n v="59"/>
    <n v="41"/>
    <n v="17"/>
    <n v="22"/>
    <x v="29"/>
    <n v="500"/>
    <n v="0.44600000000000001"/>
    <n v="0.55400000000000005"/>
    <n v="44.6"/>
    <s v="Critical"/>
    <n v="110"/>
  </r>
  <r>
    <s v="Mum-TCL035"/>
    <s v="Sanjay Hire"/>
    <x v="2"/>
    <n v="82"/>
    <n v="54"/>
    <n v="79"/>
    <n v="61"/>
    <n v="47"/>
    <x v="30"/>
    <n v="500"/>
    <n v="0.64600000000000002"/>
    <n v="0.35399999999999998"/>
    <n v="64.600000000000009"/>
    <s v="Needs Improvement"/>
    <n v="31"/>
  </r>
  <r>
    <s v="Mum-TCL036"/>
    <s v="Salim"/>
    <x v="3"/>
    <n v="47"/>
    <n v="23"/>
    <n v="19"/>
    <n v="64"/>
    <n v="61"/>
    <x v="31"/>
    <n v="500"/>
    <n v="0.42799999999999999"/>
    <n v="0.57200000000000006"/>
    <n v="42.8"/>
    <s v="Critical"/>
    <n v="116"/>
  </r>
  <r>
    <s v="Mum-TCL037"/>
    <s v="Sajid Naqvi"/>
    <x v="4"/>
    <n v="91"/>
    <n v="13"/>
    <n v="79"/>
    <n v="85"/>
    <n v="67"/>
    <x v="32"/>
    <n v="500"/>
    <n v="0.67"/>
    <n v="0.32999999999999996"/>
    <n v="67"/>
    <s v="Good"/>
    <n v="25"/>
  </r>
  <r>
    <s v="Mum-TCL038"/>
    <s v="Roohi Haider"/>
    <x v="5"/>
    <n v="66"/>
    <n v="59"/>
    <n v="25"/>
    <n v="55"/>
    <n v="59"/>
    <x v="33"/>
    <n v="500"/>
    <n v="0.52800000000000002"/>
    <n v="0.47199999999999998"/>
    <n v="52.800000000000004"/>
    <s v="Needs Improvement"/>
    <n v="84"/>
  </r>
  <r>
    <s v="Mum-TCL039"/>
    <s v="Roma Rastogi"/>
    <x v="6"/>
    <n v="70"/>
    <n v="18"/>
    <n v="88"/>
    <n v="46"/>
    <n v="52"/>
    <x v="34"/>
    <n v="500"/>
    <n v="0.54800000000000004"/>
    <n v="0.45199999999999996"/>
    <n v="54.800000000000004"/>
    <s v="Needs Improvement"/>
    <n v="77"/>
  </r>
  <r>
    <s v="Mum-TCL040"/>
    <s v="Roli Bhatnagar"/>
    <x v="7"/>
    <n v="37"/>
    <n v="60"/>
    <n v="44"/>
    <n v="61"/>
    <n v="30"/>
    <x v="35"/>
    <n v="500"/>
    <n v="0.46400000000000002"/>
    <n v="0.53600000000000003"/>
    <n v="46.400000000000006"/>
    <s v="Critical"/>
    <n v="103"/>
  </r>
  <r>
    <s v="Mum-TCL041"/>
    <s v="Rohit Nishchal"/>
    <x v="0"/>
    <n v="16"/>
    <n v="46"/>
    <n v="33"/>
    <n v="54"/>
    <n v="58"/>
    <x v="36"/>
    <n v="500"/>
    <n v="0.41399999999999998"/>
    <n v="0.58600000000000008"/>
    <n v="41.4"/>
    <s v="Critical"/>
    <n v="125"/>
  </r>
  <r>
    <s v="Mum-TCL042"/>
    <s v="Ritu Bhatnagar"/>
    <x v="1"/>
    <n v="47"/>
    <n v="97"/>
    <n v="74"/>
    <n v="97"/>
    <n v="56"/>
    <x v="37"/>
    <n v="500"/>
    <n v="0.74199999999999999"/>
    <n v="0.25800000000000001"/>
    <n v="74.2"/>
    <s v="Good"/>
    <n v="8"/>
  </r>
  <r>
    <s v="Mum-TCL043"/>
    <s v="Renu Pratap"/>
    <x v="2"/>
    <n v="86"/>
    <n v="22"/>
    <n v="10"/>
    <n v="60"/>
    <n v="28"/>
    <x v="38"/>
    <n v="500"/>
    <n v="0.41199999999999998"/>
    <n v="0.58800000000000008"/>
    <n v="41.199999999999996"/>
    <s v="Critical"/>
    <n v="126"/>
  </r>
  <r>
    <s v="Mum-TCL044"/>
    <s v="Rekha Jain "/>
    <x v="3"/>
    <n v="74"/>
    <n v="17"/>
    <n v="45"/>
    <n v="64"/>
    <n v="13"/>
    <x v="4"/>
    <n v="500"/>
    <n v="0.42599999999999999"/>
    <n v="0.57400000000000007"/>
    <n v="42.6"/>
    <s v="Critical"/>
    <n v="118"/>
  </r>
  <r>
    <s v="Mum-TCL045"/>
    <s v="Rekha Gupta"/>
    <x v="4"/>
    <n v="80"/>
    <n v="51"/>
    <n v="15"/>
    <n v="97"/>
    <n v="42"/>
    <x v="7"/>
    <n v="500"/>
    <n v="0.56999999999999995"/>
    <n v="0.43000000000000005"/>
    <n v="56.999999999999993"/>
    <s v="Needs Improvement"/>
    <n v="67"/>
  </r>
  <r>
    <s v="Mum-TCL046"/>
    <s v="Rekha Agarwal"/>
    <x v="5"/>
    <n v="49"/>
    <n v="82"/>
    <n v="95"/>
    <n v="46"/>
    <n v="78"/>
    <x v="39"/>
    <n v="500"/>
    <n v="0.7"/>
    <n v="0.30000000000000004"/>
    <n v="70"/>
    <s v="Good"/>
    <n v="17"/>
  </r>
  <r>
    <s v="Mum-TCL047"/>
    <s v="Ravinder Kaur"/>
    <x v="6"/>
    <n v="17"/>
    <n v="88"/>
    <n v="12"/>
    <n v="54"/>
    <n v="21"/>
    <x v="40"/>
    <n v="500"/>
    <n v="0.38400000000000001"/>
    <n v="0.61599999999999999"/>
    <n v="38.4"/>
    <s v="Critical"/>
    <n v="130"/>
  </r>
  <r>
    <s v="Mum-TCL048"/>
    <s v="Ravi Kumar"/>
    <x v="7"/>
    <n v="74"/>
    <n v="16"/>
    <n v="74"/>
    <n v="36"/>
    <n v="33"/>
    <x v="41"/>
    <n v="500"/>
    <n v="0.46600000000000003"/>
    <n v="0.53400000000000003"/>
    <n v="46.6"/>
    <s v="Critical"/>
    <n v="102"/>
  </r>
  <r>
    <s v="Mum-TCL049"/>
    <s v="Rashmi Gajbe"/>
    <x v="0"/>
    <n v="73"/>
    <n v="72"/>
    <n v="38"/>
    <n v="19"/>
    <n v="90"/>
    <x v="42"/>
    <n v="500"/>
    <n v="0.58399999999999996"/>
    <n v="0.41600000000000004"/>
    <n v="58.4"/>
    <s v="Needs Improvement"/>
    <n v="56"/>
  </r>
  <r>
    <s v="Mum-TCL050"/>
    <s v="Rashid"/>
    <x v="1"/>
    <n v="17"/>
    <n v="84"/>
    <n v="90"/>
    <n v="77"/>
    <n v="72"/>
    <x v="43"/>
    <n v="500"/>
    <n v="0.68"/>
    <n v="0.31999999999999995"/>
    <n v="68"/>
    <s v="Good"/>
    <n v="23"/>
  </r>
  <r>
    <s v="Mum-TCL051"/>
    <s v="Ramji Prasad"/>
    <x v="2"/>
    <n v="52"/>
    <n v="36"/>
    <n v="84"/>
    <n v="41"/>
    <n v="57"/>
    <x v="44"/>
    <n v="500"/>
    <n v="0.54"/>
    <n v="0.45999999999999996"/>
    <n v="54"/>
    <s v="Needs Improvement"/>
    <n v="80"/>
  </r>
  <r>
    <s v="Mum-TCL052"/>
    <s v="Rakhi Jodhani"/>
    <x v="3"/>
    <n v="65"/>
    <n v="67"/>
    <n v="72"/>
    <n v="22"/>
    <n v="23"/>
    <x v="45"/>
    <n v="500"/>
    <n v="0.498"/>
    <n v="0.502"/>
    <n v="49.8"/>
    <s v="Critical"/>
    <n v="92"/>
  </r>
  <r>
    <s v="Mum-TCL053"/>
    <s v="Rajshree Dhabekar"/>
    <x v="4"/>
    <n v="88"/>
    <n v="39"/>
    <n v="25"/>
    <n v="99"/>
    <n v="71"/>
    <x v="46"/>
    <n v="500"/>
    <n v="0.64400000000000002"/>
    <n v="0.35599999999999998"/>
    <n v="64.400000000000006"/>
    <s v="Needs Improvement"/>
    <n v="32"/>
  </r>
  <r>
    <s v="Mum-TCL054"/>
    <s v="Raji Abraham"/>
    <x v="5"/>
    <n v="23"/>
    <n v="14"/>
    <n v="15"/>
    <n v="58"/>
    <n v="79"/>
    <x v="8"/>
    <n v="500"/>
    <n v="0.378"/>
    <n v="0.622"/>
    <n v="37.799999999999997"/>
    <s v="Critical"/>
    <n v="132"/>
  </r>
  <r>
    <s v="Mum-TCL055"/>
    <s v="Rajesh Sharma"/>
    <x v="6"/>
    <n v="15"/>
    <n v="67"/>
    <n v="48"/>
    <n v="95"/>
    <n v="35"/>
    <x v="47"/>
    <n v="500"/>
    <n v="0.52"/>
    <n v="0.48"/>
    <n v="52"/>
    <s v="Needs Improvement"/>
    <n v="87"/>
  </r>
  <r>
    <s v="Mum-TCL056"/>
    <s v="Rajesh Kumar"/>
    <x v="7"/>
    <n v="18"/>
    <n v="35"/>
    <n v="82"/>
    <n v="31"/>
    <n v="26"/>
    <x v="40"/>
    <n v="500"/>
    <n v="0.38400000000000001"/>
    <n v="0.61599999999999999"/>
    <n v="38.4"/>
    <s v="Critical"/>
    <n v="130"/>
  </r>
  <r>
    <s v="Mum-TCL057"/>
    <s v="Rajendra Prasad"/>
    <x v="0"/>
    <n v="57"/>
    <n v="60"/>
    <n v="42"/>
    <n v="81"/>
    <n v="44"/>
    <x v="48"/>
    <n v="500"/>
    <n v="0.56799999999999995"/>
    <n v="0.43200000000000005"/>
    <n v="56.8"/>
    <s v="Needs Improvement"/>
    <n v="70"/>
  </r>
  <r>
    <s v="Mum-TCL058"/>
    <s v="Rajendra Kumar"/>
    <x v="1"/>
    <n v="34"/>
    <n v="97"/>
    <n v="66"/>
    <n v="45"/>
    <n v="50"/>
    <x v="42"/>
    <n v="500"/>
    <n v="0.58399999999999996"/>
    <n v="0.41600000000000004"/>
    <n v="58.4"/>
    <s v="Needs Improvement"/>
    <n v="56"/>
  </r>
  <r>
    <s v="Mum-TCL059"/>
    <s v="Rajendra Gupta"/>
    <x v="2"/>
    <n v="83"/>
    <n v="12"/>
    <n v="70"/>
    <n v="83"/>
    <n v="52"/>
    <x v="49"/>
    <n v="500"/>
    <n v="0.6"/>
    <n v="0.4"/>
    <n v="60"/>
    <s v="Needs Improvement"/>
    <n v="52"/>
  </r>
  <r>
    <s v="Mum-TCL060"/>
    <s v="Rajeev Kumar"/>
    <x v="3"/>
    <n v="76"/>
    <n v="55"/>
    <n v="56"/>
    <n v="16"/>
    <n v="61"/>
    <x v="33"/>
    <n v="500"/>
    <n v="0.52800000000000002"/>
    <n v="0.47199999999999998"/>
    <n v="52.800000000000004"/>
    <s v="Needs Improvement"/>
    <n v="84"/>
  </r>
  <r>
    <s v="Mum-TCL061"/>
    <s v="Rajeev Garg"/>
    <x v="4"/>
    <n v="40"/>
    <n v="70"/>
    <n v="19"/>
    <n v="36"/>
    <n v="52"/>
    <x v="50"/>
    <n v="500"/>
    <n v="0.434"/>
    <n v="0.56600000000000006"/>
    <n v="43.4"/>
    <s v="Critical"/>
    <n v="113"/>
  </r>
  <r>
    <s v="Mum-TCL062"/>
    <s v="Raj Kumar"/>
    <x v="5"/>
    <n v="44"/>
    <n v="60"/>
    <n v="71"/>
    <n v="34"/>
    <n v="37"/>
    <x v="51"/>
    <n v="500"/>
    <n v="0.49199999999999999"/>
    <n v="0.50800000000000001"/>
    <n v="49.2"/>
    <s v="Critical"/>
    <n v="93"/>
  </r>
  <r>
    <s v="Mum-TCL063"/>
    <s v="Rachna Chauhan"/>
    <x v="6"/>
    <n v="43"/>
    <n v="78"/>
    <n v="15"/>
    <n v="98"/>
    <n v="33"/>
    <x v="52"/>
    <n v="500"/>
    <n v="0.53400000000000003"/>
    <n v="0.46599999999999997"/>
    <n v="53.400000000000006"/>
    <s v="Needs Improvement"/>
    <n v="82"/>
  </r>
  <r>
    <s v="Mum-TCL064"/>
    <s v="Rachita Anupam"/>
    <x v="7"/>
    <n v="75"/>
    <n v="75"/>
    <n v="89"/>
    <n v="97"/>
    <n v="49"/>
    <x v="53"/>
    <n v="500"/>
    <n v="0.77"/>
    <n v="0.22999999999999998"/>
    <n v="77"/>
    <s v="Good"/>
    <n v="2"/>
  </r>
  <r>
    <s v="Mum-TCL065"/>
    <s v="Rachel Mathew"/>
    <x v="0"/>
    <n v="74"/>
    <n v="51"/>
    <n v="97"/>
    <n v="73"/>
    <n v="33"/>
    <x v="54"/>
    <n v="500"/>
    <n v="0.65600000000000003"/>
    <n v="0.34399999999999997"/>
    <n v="65.600000000000009"/>
    <s v="Good"/>
    <n v="28"/>
  </r>
  <r>
    <s v="Mum-TCL066"/>
    <s v="Praveen Kumar"/>
    <x v="1"/>
    <n v="44"/>
    <n v="36"/>
    <n v="11"/>
    <n v="45"/>
    <n v="30"/>
    <x v="55"/>
    <n v="500"/>
    <n v="0.33200000000000002"/>
    <n v="0.66799999999999993"/>
    <n v="33.200000000000003"/>
    <s v="Critical"/>
    <n v="138"/>
  </r>
  <r>
    <s v="Mum-TCL067"/>
    <s v="Prasannakumari S"/>
    <x v="2"/>
    <n v="87"/>
    <n v="79"/>
    <n v="46"/>
    <n v="65"/>
    <n v="65"/>
    <x v="56"/>
    <n v="500"/>
    <n v="0.68400000000000005"/>
    <n v="0.31599999999999995"/>
    <n v="68.400000000000006"/>
    <s v="Good"/>
    <n v="21"/>
  </r>
  <r>
    <s v="Mum-TCL068"/>
    <s v="Pramod Tiwari"/>
    <x v="3"/>
    <n v="70"/>
    <n v="52"/>
    <n v="80"/>
    <n v="43"/>
    <n v="48"/>
    <x v="57"/>
    <n v="500"/>
    <n v="0.58599999999999997"/>
    <n v="0.41400000000000003"/>
    <n v="58.599999999999994"/>
    <s v="Needs Improvement"/>
    <n v="55"/>
  </r>
  <r>
    <s v="Mum-TCL069"/>
    <s v="Prabha Desikan"/>
    <x v="4"/>
    <n v="45"/>
    <n v="26"/>
    <n v="27"/>
    <n v="14"/>
    <n v="59"/>
    <x v="58"/>
    <n v="500"/>
    <n v="0.34200000000000003"/>
    <n v="0.65799999999999992"/>
    <n v="34.200000000000003"/>
    <s v="Critical"/>
    <n v="137"/>
  </r>
  <r>
    <s v="Mum-TCL070"/>
    <s v="Partha Sarathi"/>
    <x v="5"/>
    <n v="51"/>
    <n v="26"/>
    <n v="58"/>
    <n v="83"/>
    <n v="11"/>
    <x v="59"/>
    <n v="500"/>
    <n v="0.45800000000000002"/>
    <n v="0.54200000000000004"/>
    <n v="45.800000000000004"/>
    <s v="Critical"/>
    <n v="106"/>
  </r>
  <r>
    <s v="Mum-TCL071"/>
    <s v="Pankaj Shelkey"/>
    <x v="6"/>
    <n v="68"/>
    <n v="36"/>
    <n v="15"/>
    <n v="20"/>
    <n v="17"/>
    <x v="60"/>
    <n v="500"/>
    <n v="0.312"/>
    <n v="0.68799999999999994"/>
    <n v="31.2"/>
    <s v="Critical"/>
    <n v="140"/>
  </r>
  <r>
    <s v="Mum-TCL072"/>
    <s v="Owais Mohd"/>
    <x v="7"/>
    <n v="32"/>
    <n v="74"/>
    <n v="18"/>
    <n v="33"/>
    <n v="51"/>
    <x v="61"/>
    <n v="500"/>
    <n v="0.41599999999999998"/>
    <n v="0.58400000000000007"/>
    <n v="41.6"/>
    <s v="Critical"/>
    <n v="124"/>
  </r>
  <r>
    <s v="Mum-TCL073"/>
    <s v="Omprakash O"/>
    <x v="0"/>
    <n v="41"/>
    <n v="11"/>
    <n v="46"/>
    <n v="35"/>
    <n v="10"/>
    <x v="62"/>
    <n v="500"/>
    <n v="0.28599999999999998"/>
    <n v="0.71399999999999997"/>
    <n v="28.599999999999998"/>
    <s v="Critical"/>
    <n v="141"/>
  </r>
  <r>
    <s v="Mum-TCL074"/>
    <s v="Om Prakash"/>
    <x v="1"/>
    <n v="41"/>
    <n v="17"/>
    <n v="82"/>
    <n v="75"/>
    <n v="39"/>
    <x v="63"/>
    <n v="500"/>
    <n v="0.50800000000000001"/>
    <n v="0.49199999999999999"/>
    <n v="50.8"/>
    <s v="Needs Improvement"/>
    <n v="89"/>
  </r>
  <r>
    <s v="Mum-TCL075"/>
    <s v="Nitin Bhatia"/>
    <x v="2"/>
    <n v="12"/>
    <n v="97"/>
    <n v="45"/>
    <n v="29"/>
    <n v="41"/>
    <x v="64"/>
    <n v="500"/>
    <n v="0.44800000000000001"/>
    <n v="0.55200000000000005"/>
    <n v="44.800000000000004"/>
    <s v="Critical"/>
    <n v="108"/>
  </r>
  <r>
    <s v="Mum-TCL076"/>
    <s v="Nikita Panwalkar"/>
    <x v="3"/>
    <n v="19"/>
    <n v="72"/>
    <n v="87"/>
    <n v="82"/>
    <n v="27"/>
    <x v="65"/>
    <n v="500"/>
    <n v="0.57399999999999995"/>
    <n v="0.42600000000000005"/>
    <n v="57.4"/>
    <s v="Needs Improvement"/>
    <n v="63"/>
  </r>
  <r>
    <s v="Mum-TCL077"/>
    <s v="Neeru Mehta"/>
    <x v="4"/>
    <n v="98"/>
    <n v="15"/>
    <n v="72"/>
    <n v="67"/>
    <n v="34"/>
    <x v="66"/>
    <n v="500"/>
    <n v="0.57199999999999995"/>
    <n v="0.42800000000000005"/>
    <n v="57.199999999999996"/>
    <s v="Needs Improvement"/>
    <n v="64"/>
  </r>
  <r>
    <s v="Mum-TCL078"/>
    <s v="Neeraj Saxena"/>
    <x v="5"/>
    <n v="50"/>
    <n v="44"/>
    <n v="46"/>
    <n v="13"/>
    <n v="92"/>
    <x v="67"/>
    <n v="500"/>
    <n v="0.49"/>
    <n v="0.51"/>
    <n v="49"/>
    <s v="Critical"/>
    <n v="94"/>
  </r>
  <r>
    <s v="Mum-TCL079"/>
    <s v="Narayan Singh"/>
    <x v="6"/>
    <n v="40"/>
    <n v="82"/>
    <n v="72"/>
    <n v="42"/>
    <n v="45"/>
    <x v="68"/>
    <n v="500"/>
    <n v="0.56200000000000006"/>
    <n v="0.43799999999999994"/>
    <n v="56.2"/>
    <s v="Needs Improvement"/>
    <n v="72"/>
  </r>
  <r>
    <s v="Mum-TCL080"/>
    <s v="Nandu Kumar"/>
    <x v="7"/>
    <n v="23"/>
    <n v="83"/>
    <n v="63"/>
    <n v="65"/>
    <n v="83"/>
    <x v="69"/>
    <n v="500"/>
    <n v="0.63400000000000001"/>
    <n v="0.36599999999999999"/>
    <n v="63.4"/>
    <s v="Needs Improvement"/>
    <n v="38"/>
  </r>
  <r>
    <s v="Mum-TCL081"/>
    <s v="Mukesh Nagar"/>
    <x v="0"/>
    <n v="71"/>
    <n v="94"/>
    <n v="45"/>
    <n v="95"/>
    <n v="46"/>
    <x v="70"/>
    <n v="500"/>
    <n v="0.70199999999999996"/>
    <n v="0.29800000000000004"/>
    <n v="70.199999999999989"/>
    <s v="Good"/>
    <n v="15"/>
  </r>
  <r>
    <s v="Mum-TCL082"/>
    <s v="Mubeen Khan"/>
    <x v="1"/>
    <n v="48"/>
    <n v="49"/>
    <n v="68"/>
    <n v="23"/>
    <n v="21"/>
    <x v="71"/>
    <n v="500"/>
    <n v="0.41799999999999998"/>
    <n v="0.58200000000000007"/>
    <n v="41.8"/>
    <s v="Critical"/>
    <n v="122"/>
  </r>
  <r>
    <s v="Mum-TCL083"/>
    <s v="Mohd Rafi"/>
    <x v="2"/>
    <n v="77"/>
    <n v="83"/>
    <n v="64"/>
    <n v="53"/>
    <n v="13"/>
    <x v="72"/>
    <n v="500"/>
    <n v="0.57999999999999996"/>
    <n v="0.42000000000000004"/>
    <n v="57.999999999999993"/>
    <s v="Needs Improvement"/>
    <n v="59"/>
  </r>
  <r>
    <s v="Mum-TCL084"/>
    <s v="Miny Mole"/>
    <x v="3"/>
    <n v="81"/>
    <n v="63"/>
    <n v="88"/>
    <n v="89"/>
    <n v="63"/>
    <x v="73"/>
    <n v="500"/>
    <n v="0.76800000000000002"/>
    <n v="0.23199999999999998"/>
    <n v="76.8"/>
    <s v="Good"/>
    <n v="3"/>
  </r>
  <r>
    <s v="Mum-TCL085"/>
    <s v="Mercy Thampi"/>
    <x v="4"/>
    <n v="39"/>
    <n v="87"/>
    <n v="62"/>
    <n v="80"/>
    <n v="81"/>
    <x v="74"/>
    <n v="500"/>
    <n v="0.69799999999999995"/>
    <n v="0.30200000000000005"/>
    <n v="69.8"/>
    <s v="Good"/>
    <n v="18"/>
  </r>
  <r>
    <s v="Mum-TCL086"/>
    <s v="Mehnaz Khan"/>
    <x v="5"/>
    <n v="46"/>
    <n v="19"/>
    <n v="59"/>
    <n v="58"/>
    <n v="33"/>
    <x v="75"/>
    <n v="500"/>
    <n v="0.43"/>
    <n v="0.57000000000000006"/>
    <n v="43"/>
    <s v="Critical"/>
    <n v="115"/>
  </r>
  <r>
    <s v="Mum-TCL087"/>
    <s v="Meena Zinjare"/>
    <x v="6"/>
    <n v="34"/>
    <n v="15"/>
    <n v="43"/>
    <n v="63"/>
    <n v="54"/>
    <x v="71"/>
    <n v="500"/>
    <n v="0.41799999999999998"/>
    <n v="0.58200000000000007"/>
    <n v="41.8"/>
    <s v="Critical"/>
    <n v="122"/>
  </r>
  <r>
    <s v="Mum-TCL088"/>
    <s v="Masroor Adil"/>
    <x v="7"/>
    <n v="32"/>
    <n v="79"/>
    <n v="65"/>
    <n v="57"/>
    <n v="73"/>
    <x v="13"/>
    <n v="500"/>
    <n v="0.61199999999999999"/>
    <n v="0.38800000000000001"/>
    <n v="61.199999999999996"/>
    <s v="Needs Improvement"/>
    <n v="45"/>
  </r>
  <r>
    <s v="Mum-TCL089"/>
    <s v="Manoj Kumar"/>
    <x v="0"/>
    <n v="72"/>
    <n v="82"/>
    <n v="58"/>
    <n v="36"/>
    <n v="33"/>
    <x v="68"/>
    <n v="500"/>
    <n v="0.56200000000000006"/>
    <n v="0.43799999999999994"/>
    <n v="56.2"/>
    <s v="Needs Improvement"/>
    <n v="72"/>
  </r>
  <r>
    <s v="Mum-TCL090"/>
    <s v="ManjuTiwari Lab"/>
    <x v="1"/>
    <n v="11"/>
    <n v="69"/>
    <n v="49"/>
    <n v="90"/>
    <n v="99"/>
    <x v="76"/>
    <n v="500"/>
    <n v="0.63600000000000001"/>
    <n v="0.36399999999999999"/>
    <n v="63.6"/>
    <s v="Needs Improvement"/>
    <n v="36"/>
  </r>
  <r>
    <s v="Mum-TCL091"/>
    <s v="Manjusha Sinha"/>
    <x v="2"/>
    <n v="80"/>
    <n v="73"/>
    <n v="21"/>
    <n v="72"/>
    <n v="54"/>
    <x v="49"/>
    <n v="500"/>
    <n v="0.6"/>
    <n v="0.4"/>
    <n v="60"/>
    <s v="Needs Improvement"/>
    <n v="52"/>
  </r>
  <r>
    <s v="Mum-TCL092"/>
    <s v="Manisha Shrivastava"/>
    <x v="3"/>
    <n v="93"/>
    <n v="42"/>
    <n v="38"/>
    <n v="98"/>
    <n v="10"/>
    <x v="68"/>
    <n v="500"/>
    <n v="0.56200000000000006"/>
    <n v="0.43799999999999994"/>
    <n v="56.2"/>
    <s v="Needs Improvement"/>
    <n v="72"/>
  </r>
  <r>
    <s v="Mum-TCL093"/>
    <s v="Mangal Singh"/>
    <x v="4"/>
    <n v="18"/>
    <n v="80"/>
    <n v="20"/>
    <n v="32"/>
    <n v="95"/>
    <x v="67"/>
    <n v="500"/>
    <n v="0.49"/>
    <n v="0.51"/>
    <n v="49"/>
    <s v="Critical"/>
    <n v="94"/>
  </r>
  <r>
    <s v="Mum-TCL094"/>
    <s v="Lilly Lucy"/>
    <x v="5"/>
    <n v="96"/>
    <n v="14"/>
    <n v="20"/>
    <n v="31"/>
    <n v="44"/>
    <x v="77"/>
    <n v="500"/>
    <n v="0.41"/>
    <n v="0.59000000000000008"/>
    <n v="41"/>
    <s v="Critical"/>
    <n v="127"/>
  </r>
  <r>
    <s v="Mum-TCL095"/>
    <s v="Leena George"/>
    <x v="6"/>
    <n v="37"/>
    <n v="60"/>
    <n v="50"/>
    <n v="68"/>
    <n v="19"/>
    <x v="78"/>
    <n v="500"/>
    <n v="0.46800000000000003"/>
    <n v="0.53200000000000003"/>
    <n v="46.800000000000004"/>
    <s v="Critical"/>
    <n v="101"/>
  </r>
  <r>
    <s v="Mum-TCL096"/>
    <s v="Kunj Bihari"/>
    <x v="7"/>
    <n v="35"/>
    <n v="79"/>
    <n v="17"/>
    <n v="85"/>
    <n v="16"/>
    <x v="35"/>
    <n v="500"/>
    <n v="0.46400000000000002"/>
    <n v="0.53600000000000003"/>
    <n v="46.400000000000006"/>
    <s v="Critical"/>
    <n v="103"/>
  </r>
  <r>
    <s v="Mum-TCL097"/>
    <s v="Krishana Kumar"/>
    <x v="0"/>
    <n v="31"/>
    <n v="48"/>
    <n v="56"/>
    <n v="85"/>
    <n v="25"/>
    <x v="67"/>
    <n v="500"/>
    <n v="0.49"/>
    <n v="0.51"/>
    <n v="49"/>
    <s v="Critical"/>
    <n v="94"/>
  </r>
  <r>
    <s v="Mum-TCL098"/>
    <s v="Kisun Sah"/>
    <x v="1"/>
    <n v="23"/>
    <n v="83"/>
    <n v="86"/>
    <n v="69"/>
    <n v="25"/>
    <x v="66"/>
    <n v="500"/>
    <n v="0.57199999999999995"/>
    <n v="0.42800000000000005"/>
    <n v="57.199999999999996"/>
    <s v="Needs Improvement"/>
    <n v="64"/>
  </r>
  <r>
    <s v="Mum-TCL099"/>
    <s v="Kiran Khubchandani"/>
    <x v="2"/>
    <n v="17"/>
    <n v="97"/>
    <n v="81"/>
    <n v="32"/>
    <n v="76"/>
    <x v="79"/>
    <n v="500"/>
    <n v="0.60599999999999998"/>
    <n v="0.39400000000000002"/>
    <n v="60.6"/>
    <s v="Needs Improvement"/>
    <n v="49"/>
  </r>
  <r>
    <s v="Mum-TCL100"/>
    <s v="Kavita Sharma"/>
    <x v="3"/>
    <n v="92"/>
    <n v="45"/>
    <n v="43"/>
    <n v="91"/>
    <n v="47"/>
    <x v="76"/>
    <n v="500"/>
    <n v="0.63600000000000001"/>
    <n v="0.36399999999999999"/>
    <n v="63.6"/>
    <s v="Needs Improvement"/>
    <n v="36"/>
  </r>
  <r>
    <s v="Mum-TCL101"/>
    <s v="Kamini Tiwari"/>
    <x v="4"/>
    <n v="49"/>
    <n v="77"/>
    <n v="18"/>
    <n v="69"/>
    <n v="55"/>
    <x v="80"/>
    <n v="500"/>
    <n v="0.53600000000000003"/>
    <n v="0.46399999999999997"/>
    <n v="53.6"/>
    <s v="Needs Improvement"/>
    <n v="81"/>
  </r>
  <r>
    <s v="Mum-TCL102"/>
    <s v="Kamini Kumar"/>
    <x v="5"/>
    <n v="81"/>
    <n v="88"/>
    <n v="19"/>
    <n v="95"/>
    <n v="39"/>
    <x v="46"/>
    <n v="500"/>
    <n v="0.64400000000000002"/>
    <n v="0.35599999999999998"/>
    <n v="64.400000000000006"/>
    <s v="Needs Improvement"/>
    <n v="32"/>
  </r>
  <r>
    <s v="Mum-TCL103"/>
    <s v="Kalpana Agrawal"/>
    <x v="6"/>
    <n v="55"/>
    <n v="14"/>
    <n v="41"/>
    <n v="40"/>
    <n v="70"/>
    <x v="81"/>
    <n v="500"/>
    <n v="0.44"/>
    <n v="0.56000000000000005"/>
    <n v="44"/>
    <s v="Critical"/>
    <n v="111"/>
  </r>
  <r>
    <s v="Mum-TCL104"/>
    <s v="Kailash Nath"/>
    <x v="7"/>
    <n v="86"/>
    <n v="13"/>
    <n v="99"/>
    <n v="25"/>
    <n v="83"/>
    <x v="13"/>
    <n v="500"/>
    <n v="0.61199999999999999"/>
    <n v="0.38800000000000001"/>
    <n v="61.199999999999996"/>
    <s v="Needs Improvement"/>
    <n v="45"/>
  </r>
  <r>
    <s v="Mum-TCL105"/>
    <s v="Kahkasha Parveen"/>
    <x v="0"/>
    <n v="88"/>
    <n v="96"/>
    <n v="16"/>
    <n v="65"/>
    <n v="86"/>
    <x v="70"/>
    <n v="500"/>
    <n v="0.70199999999999996"/>
    <n v="0.29800000000000004"/>
    <n v="70.199999999999989"/>
    <s v="Good"/>
    <n v="15"/>
  </r>
  <r>
    <s v="Mum-TCL106"/>
    <s v="Jyoti Tulsani"/>
    <x v="1"/>
    <n v="61"/>
    <n v="73"/>
    <n v="34"/>
    <n v="30"/>
    <n v="30"/>
    <x v="82"/>
    <n v="500"/>
    <n v="0.45600000000000002"/>
    <n v="0.54400000000000004"/>
    <n v="45.6"/>
    <s v="Critical"/>
    <n v="107"/>
  </r>
  <r>
    <s v="Mum-TCL107"/>
    <s v="Julie S"/>
    <x v="2"/>
    <n v="61"/>
    <n v="91"/>
    <n v="53"/>
    <n v="78"/>
    <n v="91"/>
    <x v="83"/>
    <n v="500"/>
    <n v="0.748"/>
    <n v="0.252"/>
    <n v="74.8"/>
    <s v="Good"/>
    <n v="7"/>
  </r>
  <r>
    <s v="Mum-TCL108"/>
    <s v="John D'Costa"/>
    <x v="3"/>
    <n v="75"/>
    <n v="53"/>
    <n v="27"/>
    <n v="26"/>
    <n v="30"/>
    <x v="84"/>
    <n v="500"/>
    <n v="0.42199999999999999"/>
    <n v="0.57800000000000007"/>
    <n v="42.199999999999996"/>
    <s v="Critical"/>
    <n v="121"/>
  </r>
  <r>
    <s v="Mum-TCL109"/>
    <s v="Jitendra Kumar"/>
    <x v="4"/>
    <n v="24"/>
    <n v="31"/>
    <n v="41"/>
    <n v="57"/>
    <n v="83"/>
    <x v="85"/>
    <n v="500"/>
    <n v="0.47199999999999998"/>
    <n v="0.52800000000000002"/>
    <n v="47.199999999999996"/>
    <s v="Critical"/>
    <n v="100"/>
  </r>
  <r>
    <s v="Mum-TCL110"/>
    <s v="Janardan Mishra"/>
    <x v="5"/>
    <n v="83"/>
    <n v="62"/>
    <n v="32"/>
    <n v="83"/>
    <n v="95"/>
    <x v="86"/>
    <n v="500"/>
    <n v="0.71"/>
    <n v="0.29000000000000004"/>
    <n v="71"/>
    <s v="Good"/>
    <n v="12"/>
  </r>
  <r>
    <s v="Mum-TCL111"/>
    <s v="Jairaj Vatham"/>
    <x v="6"/>
    <n v="39"/>
    <n v="52"/>
    <n v="72"/>
    <n v="99"/>
    <n v="58"/>
    <x v="87"/>
    <n v="500"/>
    <n v="0.64"/>
    <n v="0.36"/>
    <n v="64"/>
    <s v="Needs Improvement"/>
    <n v="35"/>
  </r>
  <r>
    <s v="Mum-TCL112"/>
    <s v="Jagdish Chandra"/>
    <x v="7"/>
    <n v="93"/>
    <n v="74"/>
    <n v="85"/>
    <n v="47"/>
    <n v="90"/>
    <x v="88"/>
    <n v="500"/>
    <n v="0.77800000000000002"/>
    <n v="0.22199999999999998"/>
    <n v="77.8"/>
    <s v="Good"/>
    <n v="1"/>
  </r>
  <r>
    <s v="Mum-TCL113"/>
    <s v="Indra Singh"/>
    <x v="0"/>
    <n v="43"/>
    <n v="88"/>
    <n v="35"/>
    <n v="54"/>
    <n v="91"/>
    <x v="89"/>
    <n v="500"/>
    <n v="0.622"/>
    <n v="0.378"/>
    <n v="62.2"/>
    <s v="Needs Improvement"/>
    <n v="43"/>
  </r>
  <r>
    <s v="Mum-TCL114"/>
    <s v="Indra Pal"/>
    <x v="1"/>
    <n v="87"/>
    <n v="15"/>
    <n v="11"/>
    <n v="42"/>
    <n v="88"/>
    <x v="90"/>
    <n v="500"/>
    <n v="0.48599999999999999"/>
    <n v="0.51400000000000001"/>
    <n v="48.6"/>
    <s v="Critical"/>
    <n v="98"/>
  </r>
  <r>
    <s v="Mum-TCL115"/>
    <s v="Heeramani Choudhary"/>
    <x v="2"/>
    <n v="45"/>
    <n v="45"/>
    <n v="61"/>
    <n v="11"/>
    <n v="52"/>
    <x v="31"/>
    <n v="500"/>
    <n v="0.42799999999999999"/>
    <n v="0.57200000000000006"/>
    <n v="42.8"/>
    <s v="Critical"/>
    <n v="116"/>
  </r>
  <r>
    <s v="Mum-TCL116"/>
    <s v="Hari Kumar"/>
    <x v="3"/>
    <n v="71"/>
    <n v="42"/>
    <n v="17"/>
    <n v="57"/>
    <n v="96"/>
    <x v="91"/>
    <n v="500"/>
    <n v="0.56599999999999995"/>
    <n v="0.43400000000000005"/>
    <n v="56.599999999999994"/>
    <s v="Needs Improvement"/>
    <n v="71"/>
  </r>
  <r>
    <s v="Mum-TCL117"/>
    <s v="Dinesh Kumar"/>
    <x v="4"/>
    <n v="26"/>
    <n v="65"/>
    <n v="17"/>
    <n v="28"/>
    <n v="30"/>
    <x v="55"/>
    <n v="500"/>
    <n v="0.33200000000000002"/>
    <n v="0.66799999999999993"/>
    <n v="33.200000000000003"/>
    <s v="Critical"/>
    <n v="138"/>
  </r>
  <r>
    <s v="Mum-TCL118"/>
    <s v="Deepika Nigam"/>
    <x v="5"/>
    <n v="26"/>
    <n v="61"/>
    <n v="89"/>
    <n v="71"/>
    <n v="33"/>
    <x v="92"/>
    <n v="500"/>
    <n v="0.56000000000000005"/>
    <n v="0.43999999999999995"/>
    <n v="56.000000000000007"/>
    <s v="Needs Improvement"/>
    <n v="75"/>
  </r>
  <r>
    <s v="Mum-TCL119"/>
    <s v="Deepak Kumar"/>
    <x v="6"/>
    <n v="93"/>
    <n v="11"/>
    <n v="93"/>
    <n v="31"/>
    <n v="30"/>
    <x v="93"/>
    <n v="500"/>
    <n v="0.51600000000000001"/>
    <n v="0.48399999999999999"/>
    <n v="51.6"/>
    <s v="Needs Improvement"/>
    <n v="88"/>
  </r>
  <r>
    <s v="Mum-TCL120"/>
    <s v="Daleep Singh"/>
    <x v="7"/>
    <n v="65"/>
    <n v="92"/>
    <n v="48"/>
    <n v="96"/>
    <n v="15"/>
    <x v="94"/>
    <n v="500"/>
    <n v="0.63200000000000001"/>
    <n v="0.36799999999999999"/>
    <n v="63.2"/>
    <s v="Needs Improvement"/>
    <n v="39"/>
  </r>
  <r>
    <s v="Mum-TCL121"/>
    <s v="Bindu Nair"/>
    <x v="0"/>
    <n v="91"/>
    <n v="38"/>
    <n v="33"/>
    <n v="55"/>
    <n v="83"/>
    <x v="49"/>
    <n v="500"/>
    <n v="0.6"/>
    <n v="0.4"/>
    <n v="60"/>
    <s v="Needs Improvement"/>
    <n v="52"/>
  </r>
  <r>
    <s v="Mum-TCL122"/>
    <s v="Bhagwat Singh"/>
    <x v="1"/>
    <n v="20"/>
    <n v="94"/>
    <n v="45"/>
    <n v="70"/>
    <n v="98"/>
    <x v="95"/>
    <n v="500"/>
    <n v="0.65400000000000003"/>
    <n v="0.34599999999999997"/>
    <n v="65.400000000000006"/>
    <s v="Good"/>
    <n v="29"/>
  </r>
  <r>
    <s v="Mum-TCL123"/>
    <s v="Azam"/>
    <x v="2"/>
    <n v="25"/>
    <n v="83"/>
    <n v="26"/>
    <n v="68"/>
    <n v="22"/>
    <x v="64"/>
    <n v="500"/>
    <n v="0.44800000000000001"/>
    <n v="0.55200000000000005"/>
    <n v="44.800000000000004"/>
    <s v="Critical"/>
    <n v="108"/>
  </r>
  <r>
    <s v="Mum-TCL124"/>
    <s v="Atul Kumar"/>
    <x v="3"/>
    <n v="26"/>
    <n v="16"/>
    <n v="61"/>
    <n v="92"/>
    <n v="50"/>
    <x v="67"/>
    <n v="500"/>
    <n v="0.49"/>
    <n v="0.51"/>
    <n v="49"/>
    <s v="Critical"/>
    <n v="94"/>
  </r>
  <r>
    <s v="Mum-TCL125"/>
    <s v="Ashok Mahto"/>
    <x v="4"/>
    <n v="31"/>
    <n v="55"/>
    <n v="75"/>
    <n v="66"/>
    <n v="75"/>
    <x v="96"/>
    <n v="500"/>
    <n v="0.60399999999999998"/>
    <n v="0.39600000000000002"/>
    <n v="60.4"/>
    <s v="Needs Improvement"/>
    <n v="50"/>
  </r>
  <r>
    <s v="Mum-TCL126"/>
    <s v="Ashok Kumar"/>
    <x v="5"/>
    <n v="41"/>
    <n v="66"/>
    <n v="48"/>
    <n v="70"/>
    <n v="48"/>
    <x v="97"/>
    <n v="500"/>
    <n v="0.54600000000000004"/>
    <n v="0.45399999999999996"/>
    <n v="54.6"/>
    <s v="Needs Improvement"/>
    <n v="78"/>
  </r>
  <r>
    <s v="Mum-TCL127"/>
    <s v="Ashish Kumar"/>
    <x v="6"/>
    <n v="60"/>
    <n v="92"/>
    <n v="32"/>
    <n v="60"/>
    <n v="78"/>
    <x v="46"/>
    <n v="500"/>
    <n v="0.64400000000000002"/>
    <n v="0.35599999999999998"/>
    <n v="64.400000000000006"/>
    <s v="Needs Improvement"/>
    <n v="32"/>
  </r>
  <r>
    <s v="Mum-TCL128"/>
    <s v="Arun Kumar"/>
    <x v="7"/>
    <n v="42"/>
    <n v="24"/>
    <n v="19"/>
    <n v="82"/>
    <n v="16"/>
    <x v="20"/>
    <n v="500"/>
    <n v="0.36599999999999999"/>
    <n v="0.63400000000000001"/>
    <n v="36.6"/>
    <s v="Critical"/>
    <n v="134"/>
  </r>
  <r>
    <s v="Mum-TCL129"/>
    <s v="Anubhuti Gupta"/>
    <x v="0"/>
    <n v="26"/>
    <n v="85"/>
    <n v="75"/>
    <n v="83"/>
    <n v="37"/>
    <x v="13"/>
    <n v="500"/>
    <n v="0.61199999999999999"/>
    <n v="0.38800000000000001"/>
    <n v="61.199999999999996"/>
    <s v="Needs Improvement"/>
    <n v="45"/>
  </r>
  <r>
    <s v="Mum-TCL130"/>
    <s v="Anoop Raj"/>
    <x v="1"/>
    <n v="81"/>
    <n v="68"/>
    <n v="74"/>
    <n v="72"/>
    <n v="12"/>
    <x v="98"/>
    <n v="500"/>
    <n v="0.61399999999999999"/>
    <n v="0.38600000000000001"/>
    <n v="61.4"/>
    <s v="Needs Improvement"/>
    <n v="44"/>
  </r>
  <r>
    <s v="Mum-TCL131"/>
    <s v="Anoop Narayan"/>
    <x v="2"/>
    <n v="90"/>
    <n v="79"/>
    <n v="99"/>
    <n v="60"/>
    <n v="27"/>
    <x v="86"/>
    <n v="500"/>
    <n v="0.71"/>
    <n v="0.29000000000000004"/>
    <n v="71"/>
    <s v="Good"/>
    <n v="12"/>
  </r>
  <r>
    <s v="Mum-TCL132"/>
    <s v="Annu Latika"/>
    <x v="3"/>
    <n v="71"/>
    <n v="21"/>
    <n v="70"/>
    <n v="53"/>
    <n v="49"/>
    <x v="33"/>
    <n v="500"/>
    <n v="0.52800000000000002"/>
    <n v="0.47199999999999998"/>
    <n v="52.800000000000004"/>
    <s v="Needs Improvement"/>
    <n v="84"/>
  </r>
  <r>
    <s v="Mum-TCL133"/>
    <s v="Anjali Sahay"/>
    <x v="4"/>
    <n v="86"/>
    <n v="60"/>
    <n v="59"/>
    <n v="51"/>
    <n v="90"/>
    <x v="99"/>
    <n v="500"/>
    <n v="0.69199999999999995"/>
    <n v="0.30800000000000005"/>
    <n v="69.199999999999989"/>
    <s v="Good"/>
    <n v="19"/>
  </r>
  <r>
    <s v="Mum-TCL134"/>
    <s v="Anjali Deoram"/>
    <x v="5"/>
    <n v="68"/>
    <n v="61"/>
    <n v="12"/>
    <n v="41"/>
    <n v="35"/>
    <x v="50"/>
    <n v="500"/>
    <n v="0.434"/>
    <n v="0.56600000000000006"/>
    <n v="43.4"/>
    <s v="Critical"/>
    <n v="113"/>
  </r>
  <r>
    <s v="Mum-TCL135"/>
    <s v="Anita Ghore"/>
    <x v="6"/>
    <n v="65"/>
    <n v="34"/>
    <n v="15"/>
    <n v="86"/>
    <n v="71"/>
    <x v="100"/>
    <n v="500"/>
    <n v="0.54200000000000004"/>
    <n v="0.45799999999999996"/>
    <n v="54.2"/>
    <s v="Needs Improvement"/>
    <n v="79"/>
  </r>
  <r>
    <s v="Mum-TCL136"/>
    <s v="Anita Dixit"/>
    <x v="7"/>
    <n v="91"/>
    <n v="21"/>
    <n v="59"/>
    <n v="85"/>
    <n v="60"/>
    <x v="94"/>
    <n v="500"/>
    <n v="0.63200000000000001"/>
    <n v="0.36799999999999999"/>
    <n v="63.2"/>
    <s v="Needs Improvement"/>
    <n v="39"/>
  </r>
  <r>
    <s v="Mum-TCL137"/>
    <s v="Anil Kumar"/>
    <x v="0"/>
    <n v="73"/>
    <n v="67"/>
    <n v="49"/>
    <n v="56"/>
    <n v="43"/>
    <x v="3"/>
    <n v="500"/>
    <n v="0.57599999999999996"/>
    <n v="0.42400000000000004"/>
    <n v="57.599999999999994"/>
    <s v="Needs Improvement"/>
    <n v="60"/>
  </r>
  <r>
    <s v="Mum-TCL138"/>
    <s v="Anikuttan"/>
    <x v="1"/>
    <n v="72"/>
    <n v="49"/>
    <n v="93"/>
    <n v="95"/>
    <n v="73"/>
    <x v="101"/>
    <n v="500"/>
    <n v="0.76400000000000001"/>
    <n v="0.23599999999999999"/>
    <n v="76.400000000000006"/>
    <s v="Good"/>
    <n v="4"/>
  </r>
  <r>
    <s v="Mum-TCL139"/>
    <s v="Anamika Gupta"/>
    <x v="2"/>
    <n v="85"/>
    <n v="43"/>
    <n v="74"/>
    <n v="26"/>
    <n v="88"/>
    <x v="94"/>
    <n v="500"/>
    <n v="0.63200000000000001"/>
    <n v="0.36799999999999999"/>
    <n v="63.2"/>
    <s v="Needs Improvement"/>
    <n v="39"/>
  </r>
  <r>
    <s v="Mum-TCL140"/>
    <s v="Afzal Husain"/>
    <x v="3"/>
    <n v="77"/>
    <n v="81"/>
    <n v="10"/>
    <n v="65"/>
    <n v="83"/>
    <x v="94"/>
    <n v="500"/>
    <n v="0.63200000000000001"/>
    <n v="0.36799999999999999"/>
    <n v="63.2"/>
    <s v="Needs Improvement"/>
    <n v="39"/>
  </r>
  <r>
    <s v="Mum-TCL141"/>
    <s v="Abdul Hamid"/>
    <x v="4"/>
    <n v="46"/>
    <n v="52"/>
    <n v="57"/>
    <n v="67"/>
    <n v="64"/>
    <x v="66"/>
    <n v="500"/>
    <n v="0.57199999999999995"/>
    <n v="0.42800000000000005"/>
    <n v="57.199999999999996"/>
    <s v="Needs Improvement"/>
    <n v="6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1CA372-6DE3-4B6E-AA11-FAB3172389CA}" name="PivotTable17" cacheId="31" applyNumberFormats="0" applyBorderFormats="0" applyFontFormats="0" applyPatternFormats="0" applyAlignmentFormats="0" applyWidthHeightFormats="1" dataCaption="Values" tag="006d4428-7627-4a6e-ab7b-30c8275d80ee" updatedVersion="8" minRefreshableVersion="3" useAutoFormatting="1" itemPrintTitles="1" createdVersion="8" indent="0" outline="1" outlineData="1" multipleFieldFilters="0">
  <location ref="R18:R19"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BCC285-E234-45E7-91D8-F6448C75E3B7}" name="PivotTable6" cacheId="1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7" rowHeaderCaption="Sales Executive">
  <location ref="T12:V13" firstHeaderRow="0" firstDataRow="1" firstDataCol="0"/>
  <pivotFields count="13">
    <pivotField showAll="0"/>
    <pivotField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dataField="1" showAll="0"/>
    <pivotField numFmtId="10" showAll="0"/>
    <pivotField numFmtId="10" showAll="0"/>
    <pivotField dataField="1" dragToRow="0" dragToCol="0" dragToPage="0" showAll="0" defaultSubtotal="0"/>
  </pivotFields>
  <rowItems count="1">
    <i/>
  </rowItems>
  <colFields count="1">
    <field x="-2"/>
  </colFields>
  <colItems count="3">
    <i>
      <x/>
    </i>
    <i i="1">
      <x v="1"/>
    </i>
    <i i="2">
      <x v="2"/>
    </i>
  </colItems>
  <dataFields count="3">
    <dataField name="Sum of Target" fld="9" baseField="0" baseItem="0"/>
    <dataField name="Sum of Target_Achivement%" fld="12" baseField="0" baseItem="0"/>
    <dataField name="Sum of Total Sales" fld="8" baseField="0" baseItem="0"/>
  </dataFields>
  <formats count="13">
    <format dxfId="170">
      <pivotArea type="all" dataOnly="0" outline="0" fieldPosition="0"/>
    </format>
    <format dxfId="171">
      <pivotArea outline="0" collapsedLevelsAreSubtotals="1" fieldPosition="0"/>
    </format>
    <format dxfId="172">
      <pivotArea field="1" type="button" dataOnly="0" labelOnly="1" outline="0"/>
    </format>
    <format dxfId="173">
      <pivotArea dataOnly="0" labelOnly="1" outline="0" axis="axisValues" fieldPosition="0"/>
    </format>
    <format dxfId="174">
      <pivotArea type="all" dataOnly="0" outline="0" fieldPosition="0"/>
    </format>
    <format dxfId="175">
      <pivotArea outline="0" collapsedLevelsAreSubtotals="1" fieldPosition="0"/>
    </format>
    <format dxfId="176">
      <pivotArea field="1" type="button" dataOnly="0" labelOnly="1" outline="0"/>
    </format>
    <format dxfId="177">
      <pivotArea dataOnly="0" labelOnly="1" outline="0" axis="axisValues" fieldPosition="0"/>
    </format>
    <format dxfId="178">
      <pivotArea type="all" dataOnly="0" outline="0" fieldPosition="0"/>
    </format>
    <format dxfId="179">
      <pivotArea outline="0" collapsedLevelsAreSubtotals="1" fieldPosition="0"/>
    </format>
    <format dxfId="180">
      <pivotArea field="1" type="button" dataOnly="0" labelOnly="1" outline="0"/>
    </format>
    <format dxfId="181">
      <pivotArea dataOnly="0" labelOnly="1" outline="0" axis="axisValues" fieldPosition="0"/>
    </format>
    <format dxfId="182">
      <pivotArea dataOnly="0" labelOnly="1" outline="0" axis="axisValues" fieldPosition="0"/>
    </format>
  </format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80FF75-2D2B-4424-AAE8-44EF84449EB2}" name="PivotTable5" cacheId="1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R14:R15" firstHeaderRow="1" firstDataRow="1" firstDataCol="0"/>
  <pivotFields count="13">
    <pivotField showAll="0"/>
    <pivotField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 dragToRow="0" dragToCol="0" dragToPage="0" showAll="0" defaultSubtotal="0"/>
  </pivotFields>
  <rowItems count="1">
    <i/>
  </rowItems>
  <colItems count="1">
    <i/>
  </colItems>
  <dataFields count="1">
    <dataField name="Total Sales Region wise" fld="8" baseField="0" baseItem="0"/>
  </dataFields>
  <formats count="8">
    <format dxfId="183">
      <pivotArea type="all" dataOnly="0" outline="0" fieldPosition="0"/>
    </format>
    <format dxfId="184">
      <pivotArea outline="0" collapsedLevelsAreSubtotals="1" fieldPosition="0"/>
    </format>
    <format dxfId="185">
      <pivotArea field="1" type="button" dataOnly="0" labelOnly="1" outline="0"/>
    </format>
    <format dxfId="186">
      <pivotArea dataOnly="0" labelOnly="1" outline="0" axis="axisValues" fieldPosition="0"/>
    </format>
    <format dxfId="187">
      <pivotArea type="all" dataOnly="0" outline="0" fieldPosition="0"/>
    </format>
    <format dxfId="188">
      <pivotArea outline="0" collapsedLevelsAreSubtotals="1" fieldPosition="0"/>
    </format>
    <format dxfId="189">
      <pivotArea field="1" type="button" dataOnly="0" labelOnly="1" outline="0"/>
    </format>
    <format dxfId="190">
      <pivotArea dataOnly="0" labelOnly="1" outline="0" axis="axisValues" fieldPosition="0"/>
    </format>
  </formats>
  <pivotTableStyleInfo name="PivotStyleDark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55E2111-A50D-437C-8307-C45D086448AB}" name="PivotTable1"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R10:R11" firstHeaderRow="1" firstDataRow="1" firstDataCol="0"/>
  <pivotFields count="16">
    <pivotField showAll="0"/>
    <pivotField showAll="0"/>
    <pivotField showAll="0"/>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 showAll="0"/>
    <pivotField showAll="0"/>
    <pivotField showAll="0"/>
    <pivotField dragToRow="0" dragToCol="0" dragToPage="0" showAll="0" defaultSubtotal="0"/>
  </pivotFields>
  <rowItems count="1">
    <i/>
  </rowItems>
  <colItems count="1">
    <i/>
  </colItems>
  <dataFields count="1">
    <dataField name="Sum of Total Sale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FE12B5D-51B7-478A-86D8-1A6B19DE21F8}" name="PivotTable2" cacheId="1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E4:F9" firstHeaderRow="1" firstDataRow="1" firstDataCol="1"/>
  <pivotFields count="13">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116"/>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 dragToRow="0" dragToCol="0" dragToPage="0" showAll="0" defaultSubtotal="0"/>
  </pivotFields>
  <rowFields count="1">
    <field x="1"/>
  </rowFields>
  <rowItems count="5">
    <i>
      <x v="36"/>
    </i>
    <i>
      <x v="60"/>
    </i>
    <i>
      <x v="77"/>
    </i>
    <i>
      <x v="110"/>
    </i>
    <i>
      <x v="134"/>
    </i>
  </rowItems>
  <colItems count="1">
    <i/>
  </colItems>
  <dataFields count="1">
    <dataField name="Total Sales " fld="8" baseField="1" baseItem="3"/>
  </dataFields>
  <formats count="16">
    <format dxfId="207">
      <pivotArea type="all" dataOnly="0" outline="0" fieldPosition="0"/>
    </format>
    <format dxfId="208">
      <pivotArea outline="0" collapsedLevelsAreSubtotals="1" fieldPosition="0"/>
    </format>
    <format dxfId="209">
      <pivotArea field="1" type="button" dataOnly="0" labelOnly="1" outline="0" axis="axisRow" fieldPosition="0"/>
    </format>
    <format dxfId="210">
      <pivotArea dataOnly="0" labelOnly="1" fieldPosition="0">
        <references count="1">
          <reference field="1" count="5">
            <x v="45"/>
            <x v="53"/>
            <x v="70"/>
            <x v="103"/>
            <x v="135"/>
          </reference>
        </references>
      </pivotArea>
    </format>
    <format dxfId="211">
      <pivotArea dataOnly="0" labelOnly="1" outline="0" axis="axisValues" fieldPosition="0"/>
    </format>
    <format dxfId="212">
      <pivotArea type="all" dataOnly="0" outline="0" fieldPosition="0"/>
    </format>
    <format dxfId="213">
      <pivotArea outline="0" collapsedLevelsAreSubtotals="1" fieldPosition="0"/>
    </format>
    <format dxfId="214">
      <pivotArea field="1" type="button" dataOnly="0" labelOnly="1" outline="0" axis="axisRow" fieldPosition="0"/>
    </format>
    <format dxfId="215">
      <pivotArea dataOnly="0" labelOnly="1" fieldPosition="0">
        <references count="1">
          <reference field="1" count="5">
            <x v="14"/>
            <x v="71"/>
            <x v="88"/>
            <x v="120"/>
            <x v="128"/>
          </reference>
        </references>
      </pivotArea>
    </format>
    <format dxfId="216">
      <pivotArea dataOnly="0" labelOnly="1" outline="0" axis="axisValues" fieldPosition="0"/>
    </format>
    <format dxfId="217">
      <pivotArea type="all" dataOnly="0" outline="0" fieldPosition="0"/>
    </format>
    <format dxfId="218">
      <pivotArea outline="0" collapsedLevelsAreSubtotals="1" fieldPosition="0"/>
    </format>
    <format dxfId="219">
      <pivotArea field="1" type="button" dataOnly="0" labelOnly="1" outline="0" axis="axisRow" fieldPosition="0"/>
    </format>
    <format dxfId="220">
      <pivotArea dataOnly="0" labelOnly="1" fieldPosition="0">
        <references count="1">
          <reference field="1" count="5">
            <x v="7"/>
            <x v="48"/>
            <x v="56"/>
            <x v="73"/>
            <x v="90"/>
          </reference>
        </references>
      </pivotArea>
    </format>
    <format dxfId="221">
      <pivotArea dataOnly="0" labelOnly="1" outline="0" axis="axisValues" fieldPosition="0"/>
    </format>
    <format dxfId="22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48B9C8-8EBA-4061-B79C-0590BB10C5AB}" name="PivotTable1" cacheId="1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7" rowHeaderCaption="Sales Executive">
  <location ref="B4:C9" firstHeaderRow="1" firstDataRow="1" firstDataCol="1"/>
  <pivotFields count="13">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 dragToRow="0" dragToCol="0" dragToPage="0" showAll="0" defaultSubtotal="0"/>
  </pivotFields>
  <rowFields count="1">
    <field x="1"/>
  </rowFields>
  <rowItems count="5">
    <i>
      <x v="3"/>
    </i>
    <i>
      <x v="21"/>
    </i>
    <i>
      <x v="53"/>
    </i>
    <i>
      <x v="94"/>
    </i>
    <i>
      <x v="102"/>
    </i>
  </rowItems>
  <colItems count="1">
    <i/>
  </colItems>
  <dataFields count="1">
    <dataField name="Total Sales " fld="8" baseField="1" baseItem="3"/>
  </dataFields>
  <formats count="16">
    <format dxfId="191">
      <pivotArea type="all" dataOnly="0" outline="0" fieldPosition="0"/>
    </format>
    <format dxfId="192">
      <pivotArea outline="0" collapsedLevelsAreSubtotals="1" fieldPosition="0"/>
    </format>
    <format dxfId="193">
      <pivotArea field="1" type="button" dataOnly="0" labelOnly="1" outline="0" axis="axisRow" fieldPosition="0"/>
    </format>
    <format dxfId="194">
      <pivotArea dataOnly="0" labelOnly="1" fieldPosition="0">
        <references count="1">
          <reference field="1" count="5">
            <x v="38"/>
            <x v="62"/>
            <x v="82"/>
            <x v="111"/>
            <x v="119"/>
          </reference>
        </references>
      </pivotArea>
    </format>
    <format dxfId="195">
      <pivotArea dataOnly="0" labelOnly="1" outline="0" axis="axisValues" fieldPosition="0"/>
    </format>
    <format dxfId="196">
      <pivotArea type="all" dataOnly="0" outline="0" fieldPosition="0"/>
    </format>
    <format dxfId="197">
      <pivotArea outline="0" collapsedLevelsAreSubtotals="1" fieldPosition="0"/>
    </format>
    <format dxfId="198">
      <pivotArea field="1" type="button" dataOnly="0" labelOnly="1" outline="0" axis="axisRow" fieldPosition="0"/>
    </format>
    <format dxfId="199">
      <pivotArea dataOnly="0" labelOnly="1" fieldPosition="0">
        <references count="1">
          <reference field="1" count="5">
            <x v="5"/>
            <x v="23"/>
            <x v="31"/>
            <x v="63"/>
            <x v="79"/>
          </reference>
        </references>
      </pivotArea>
    </format>
    <format dxfId="200">
      <pivotArea dataOnly="0" labelOnly="1" outline="0" axis="axisValues" fieldPosition="0"/>
    </format>
    <format dxfId="201">
      <pivotArea type="all" dataOnly="0" outline="0" fieldPosition="0"/>
    </format>
    <format dxfId="202">
      <pivotArea outline="0" collapsedLevelsAreSubtotals="1" fieldPosition="0"/>
    </format>
    <format dxfId="203">
      <pivotArea field="1" type="button" dataOnly="0" labelOnly="1" outline="0" axis="axisRow" fieldPosition="0"/>
    </format>
    <format dxfId="204">
      <pivotArea dataOnly="0" labelOnly="1" fieldPosition="0">
        <references count="1">
          <reference field="1" count="5">
            <x v="33"/>
            <x v="41"/>
            <x v="98"/>
            <x v="114"/>
            <x v="122"/>
          </reference>
        </references>
      </pivotArea>
    </format>
    <format dxfId="205">
      <pivotArea dataOnly="0" labelOnly="1" outline="0" axis="axisValues" fieldPosition="0"/>
    </format>
    <format dxfId="206">
      <pivotArea dataOnly="0" labelOnly="1" outline="0" axis="axisValues" fieldPosition="0"/>
    </format>
  </formats>
  <chartFormats count="2">
    <chartFormat chart="1"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6B21DD8-B62C-4DC6-A003-CE85BF326F8D}" name="PivotTable4" cacheId="1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K4:L9" firstHeaderRow="1" firstDataRow="1" firstDataCol="1"/>
  <pivotFields count="13">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 dragToRow="0" dragToCol="0" dragToPage="0" showAll="0" defaultSubtotal="0"/>
  </pivotFields>
  <rowFields count="1">
    <field x="1"/>
  </rowFields>
  <rowItems count="5">
    <i>
      <x v="37"/>
    </i>
    <i>
      <x v="61"/>
    </i>
    <i>
      <x v="77"/>
    </i>
    <i>
      <x v="110"/>
    </i>
    <i>
      <x v="134"/>
    </i>
  </rowItems>
  <colItems count="1">
    <i/>
  </colItems>
  <dataFields count="1">
    <dataField name="Away From Target % wise" fld="11" baseField="1" baseItem="0" numFmtId="10"/>
  </dataFields>
  <formats count="16">
    <format dxfId="239">
      <pivotArea type="all" dataOnly="0" outline="0" fieldPosition="0"/>
    </format>
    <format dxfId="240">
      <pivotArea outline="0" collapsedLevelsAreSubtotals="1" fieldPosition="0"/>
    </format>
    <format dxfId="241">
      <pivotArea field="1" type="button" dataOnly="0" labelOnly="1" outline="0" axis="axisRow" fieldPosition="0"/>
    </format>
    <format dxfId="242">
      <pivotArea dataOnly="0" labelOnly="1" fieldPosition="0">
        <references count="1">
          <reference field="1" count="5">
            <x v="26"/>
            <x v="70"/>
            <x v="72"/>
            <x v="74"/>
            <x v="77"/>
          </reference>
        </references>
      </pivotArea>
    </format>
    <format dxfId="243">
      <pivotArea dataOnly="0" labelOnly="1" outline="0" axis="axisValues" fieldPosition="0"/>
    </format>
    <format dxfId="244">
      <pivotArea type="all" dataOnly="0" outline="0" fieldPosition="0"/>
    </format>
    <format dxfId="245">
      <pivotArea outline="0" collapsedLevelsAreSubtotals="1" fieldPosition="0"/>
    </format>
    <format dxfId="246">
      <pivotArea field="1" type="button" dataOnly="0" labelOnly="1" outline="0" axis="axisRow" fieldPosition="0"/>
    </format>
    <format dxfId="247">
      <pivotArea dataOnly="0" labelOnly="1" fieldPosition="0">
        <references count="1">
          <reference field="1" count="5">
            <x v="26"/>
            <x v="70"/>
            <x v="72"/>
            <x v="74"/>
            <x v="77"/>
          </reference>
        </references>
      </pivotArea>
    </format>
    <format dxfId="248">
      <pivotArea dataOnly="0" labelOnly="1" outline="0" axis="axisValues" fieldPosition="0"/>
    </format>
    <format dxfId="249">
      <pivotArea type="all" dataOnly="0" outline="0" fieldPosition="0"/>
    </format>
    <format dxfId="250">
      <pivotArea outline="0" collapsedLevelsAreSubtotals="1" fieldPosition="0"/>
    </format>
    <format dxfId="251">
      <pivotArea field="1" type="button" dataOnly="0" labelOnly="1" outline="0" axis="axisRow" fieldPosition="0"/>
    </format>
    <format dxfId="252">
      <pivotArea dataOnly="0" labelOnly="1" fieldPosition="0">
        <references count="1">
          <reference field="1" count="5">
            <x v="7"/>
            <x v="49"/>
            <x v="57"/>
            <x v="73"/>
            <x v="90"/>
          </reference>
        </references>
      </pivotArea>
    </format>
    <format dxfId="253">
      <pivotArea dataOnly="0" labelOnly="1" outline="0" axis="axisValues" fieldPosition="0"/>
    </format>
    <format dxfId="254">
      <pivotArea dataOnly="0" labelOnly="1" outline="0" axis="axisValues" fieldPosition="0"/>
    </format>
  </formats>
  <chartFormats count="3">
    <chartFormat chart="1"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77"/>
          </reference>
        </references>
      </pivotArea>
    </chartFormat>
  </chartFormats>
  <pivotTableStyleInfo name="PivotStyleDark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F2F0F67-8BFE-4781-82DF-2B6F43C2C4D7}" name="PivotTable3" cacheId="1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H4:I9" firstHeaderRow="1" firstDataRow="1" firstDataCol="1"/>
  <pivotFields count="13">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 dragToRow="0" dragToCol="0" dragToPage="0" showAll="0" defaultSubtotal="0"/>
  </pivotFields>
  <rowFields count="1">
    <field x="1"/>
  </rowFields>
  <rowItems count="5">
    <i>
      <x v="3"/>
    </i>
    <i>
      <x v="21"/>
    </i>
    <i>
      <x v="53"/>
    </i>
    <i>
      <x v="94"/>
    </i>
    <i>
      <x v="102"/>
    </i>
  </rowItems>
  <colItems count="1">
    <i/>
  </colItems>
  <dataFields count="1">
    <dataField name="Target Hit % wise" fld="10" baseField="1" baseItem="0" numFmtId="10"/>
  </dataFields>
  <formats count="16">
    <format dxfId="223">
      <pivotArea type="all" dataOnly="0" outline="0" fieldPosition="0"/>
    </format>
    <format dxfId="224">
      <pivotArea outline="0" collapsedLevelsAreSubtotals="1" fieldPosition="0"/>
    </format>
    <format dxfId="225">
      <pivotArea field="1" type="button" dataOnly="0" labelOnly="1" outline="0" axis="axisRow" fieldPosition="0"/>
    </format>
    <format dxfId="226">
      <pivotArea dataOnly="0" labelOnly="1" fieldPosition="0">
        <references count="1">
          <reference field="1" count="5">
            <x v="38"/>
            <x v="62"/>
            <x v="82"/>
            <x v="111"/>
            <x v="119"/>
          </reference>
        </references>
      </pivotArea>
    </format>
    <format dxfId="227">
      <pivotArea dataOnly="0" labelOnly="1" outline="0" axis="axisValues" fieldPosition="0"/>
    </format>
    <format dxfId="228">
      <pivotArea type="all" dataOnly="0" outline="0" fieldPosition="0"/>
    </format>
    <format dxfId="229">
      <pivotArea outline="0" collapsedLevelsAreSubtotals="1" fieldPosition="0"/>
    </format>
    <format dxfId="230">
      <pivotArea field="1" type="button" dataOnly="0" labelOnly="1" outline="0" axis="axisRow" fieldPosition="0"/>
    </format>
    <format dxfId="231">
      <pivotArea dataOnly="0" labelOnly="1" fieldPosition="0">
        <references count="1">
          <reference field="1" count="5">
            <x v="5"/>
            <x v="23"/>
            <x v="31"/>
            <x v="63"/>
            <x v="79"/>
          </reference>
        </references>
      </pivotArea>
    </format>
    <format dxfId="232">
      <pivotArea dataOnly="0" labelOnly="1" outline="0" axis="axisValues" fieldPosition="0"/>
    </format>
    <format dxfId="233">
      <pivotArea type="all" dataOnly="0" outline="0" fieldPosition="0"/>
    </format>
    <format dxfId="234">
      <pivotArea outline="0" collapsedLevelsAreSubtotals="1" fieldPosition="0"/>
    </format>
    <format dxfId="235">
      <pivotArea field="1" type="button" dataOnly="0" labelOnly="1" outline="0" axis="axisRow" fieldPosition="0"/>
    </format>
    <format dxfId="236">
      <pivotArea dataOnly="0" labelOnly="1" fieldPosition="0">
        <references count="1">
          <reference field="1" count="5">
            <x v="33"/>
            <x v="41"/>
            <x v="98"/>
            <x v="114"/>
            <x v="122"/>
          </reference>
        </references>
      </pivotArea>
    </format>
    <format dxfId="237">
      <pivotArea dataOnly="0" labelOnly="1" outline="0" axis="axisValues" fieldPosition="0"/>
    </format>
    <format dxfId="238">
      <pivotArea dataOnly="0" labelOnly="1" outline="0" axis="axisValues" fieldPosition="0"/>
    </format>
  </formats>
  <chartFormats count="25">
    <chartFormat chart="1" format="10" series="1">
      <pivotArea type="data" outline="0" fieldPosition="0">
        <references count="1">
          <reference field="4294967294" count="1" selected="0">
            <x v="0"/>
          </reference>
        </references>
      </pivotArea>
    </chartFormat>
    <chartFormat chart="1" format="11">
      <pivotArea type="data" outline="0" fieldPosition="0">
        <references count="2">
          <reference field="4294967294" count="1" selected="0">
            <x v="0"/>
          </reference>
          <reference field="1" count="1" selected="0">
            <x v="3"/>
          </reference>
        </references>
      </pivotArea>
    </chartFormat>
    <chartFormat chart="1" format="12">
      <pivotArea type="data" outline="0" fieldPosition="0">
        <references count="2">
          <reference field="4294967294" count="1" selected="0">
            <x v="0"/>
          </reference>
          <reference field="1" count="1" selected="0">
            <x v="21"/>
          </reference>
        </references>
      </pivotArea>
    </chartFormat>
    <chartFormat chart="1" format="13">
      <pivotArea type="data" outline="0" fieldPosition="0">
        <references count="2">
          <reference field="4294967294" count="1" selected="0">
            <x v="0"/>
          </reference>
          <reference field="1" count="1" selected="0">
            <x v="53"/>
          </reference>
        </references>
      </pivotArea>
    </chartFormat>
    <chartFormat chart="1" format="14">
      <pivotArea type="data" outline="0" fieldPosition="0">
        <references count="2">
          <reference field="4294967294" count="1" selected="0">
            <x v="0"/>
          </reference>
          <reference field="1" count="1" selected="0">
            <x v="94"/>
          </reference>
        </references>
      </pivotArea>
    </chartFormat>
    <chartFormat chart="1" format="15">
      <pivotArea type="data" outline="0" fieldPosition="0">
        <references count="2">
          <reference field="4294967294" count="1" selected="0">
            <x v="0"/>
          </reference>
          <reference field="1" count="1" selected="0">
            <x v="102"/>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38"/>
          </reference>
        </references>
      </pivotArea>
    </chartFormat>
    <chartFormat chart="2" format="2">
      <pivotArea type="data" outline="0" fieldPosition="0">
        <references count="2">
          <reference field="4294967294" count="1" selected="0">
            <x v="0"/>
          </reference>
          <reference field="1" count="1" selected="0">
            <x v="62"/>
          </reference>
        </references>
      </pivotArea>
    </chartFormat>
    <chartFormat chart="2" format="3">
      <pivotArea type="data" outline="0" fieldPosition="0">
        <references count="2">
          <reference field="4294967294" count="1" selected="0">
            <x v="0"/>
          </reference>
          <reference field="1" count="1" selected="0">
            <x v="82"/>
          </reference>
        </references>
      </pivotArea>
    </chartFormat>
    <chartFormat chart="2" format="4">
      <pivotArea type="data" outline="0" fieldPosition="0">
        <references count="2">
          <reference field="4294967294" count="1" selected="0">
            <x v="0"/>
          </reference>
          <reference field="1" count="1" selected="0">
            <x v="111"/>
          </reference>
        </references>
      </pivotArea>
    </chartFormat>
    <chartFormat chart="2" format="5">
      <pivotArea type="data" outline="0" fieldPosition="0">
        <references count="2">
          <reference field="4294967294" count="1" selected="0">
            <x v="0"/>
          </reference>
          <reference field="1" count="1" selected="0">
            <x v="119"/>
          </reference>
        </references>
      </pivotArea>
    </chartFormat>
    <chartFormat chart="2" format="6">
      <pivotArea type="data" outline="0" fieldPosition="0">
        <references count="2">
          <reference field="4294967294" count="1" selected="0">
            <x v="0"/>
          </reference>
          <reference field="1" count="1" selected="0">
            <x v="5"/>
          </reference>
        </references>
      </pivotArea>
    </chartFormat>
    <chartFormat chart="2" format="7">
      <pivotArea type="data" outline="0" fieldPosition="0">
        <references count="2">
          <reference field="4294967294" count="1" selected="0">
            <x v="0"/>
          </reference>
          <reference field="1" count="1" selected="0">
            <x v="23"/>
          </reference>
        </references>
      </pivotArea>
    </chartFormat>
    <chartFormat chart="2" format="8">
      <pivotArea type="data" outline="0" fieldPosition="0">
        <references count="2">
          <reference field="4294967294" count="1" selected="0">
            <x v="0"/>
          </reference>
          <reference field="1" count="1" selected="0">
            <x v="31"/>
          </reference>
        </references>
      </pivotArea>
    </chartFormat>
    <chartFormat chart="2" format="9">
      <pivotArea type="data" outline="0" fieldPosition="0">
        <references count="2">
          <reference field="4294967294" count="1" selected="0">
            <x v="0"/>
          </reference>
          <reference field="1" count="1" selected="0">
            <x v="63"/>
          </reference>
        </references>
      </pivotArea>
    </chartFormat>
    <chartFormat chart="2" format="10">
      <pivotArea type="data" outline="0" fieldPosition="0">
        <references count="2">
          <reference field="4294967294" count="1" selected="0">
            <x v="0"/>
          </reference>
          <reference field="1" count="1" selected="0">
            <x v="79"/>
          </reference>
        </references>
      </pivotArea>
    </chartFormat>
    <chartFormat chart="2" format="11">
      <pivotArea type="data" outline="0" fieldPosition="0">
        <references count="2">
          <reference field="4294967294" count="1" selected="0">
            <x v="0"/>
          </reference>
          <reference field="1" count="1" selected="0">
            <x v="3"/>
          </reference>
        </references>
      </pivotArea>
    </chartFormat>
    <chartFormat chart="2" format="12">
      <pivotArea type="data" outline="0" fieldPosition="0">
        <references count="2">
          <reference field="4294967294" count="1" selected="0">
            <x v="0"/>
          </reference>
          <reference field="1" count="1" selected="0">
            <x v="15"/>
          </reference>
        </references>
      </pivotArea>
    </chartFormat>
    <chartFormat chart="2" format="13">
      <pivotArea type="data" outline="0" fieldPosition="0">
        <references count="2">
          <reference field="4294967294" count="1" selected="0">
            <x v="0"/>
          </reference>
          <reference field="1" count="1" selected="0">
            <x v="59"/>
          </reference>
        </references>
      </pivotArea>
    </chartFormat>
    <chartFormat chart="2" format="14">
      <pivotArea type="data" outline="0" fieldPosition="0">
        <references count="2">
          <reference field="4294967294" count="1" selected="0">
            <x v="0"/>
          </reference>
          <reference field="1" count="1" selected="0">
            <x v="33"/>
          </reference>
        </references>
      </pivotArea>
    </chartFormat>
    <chartFormat chart="2" format="15">
      <pivotArea type="data" outline="0" fieldPosition="0">
        <references count="2">
          <reference field="4294967294" count="1" selected="0">
            <x v="0"/>
          </reference>
          <reference field="1" count="1" selected="0">
            <x v="41"/>
          </reference>
        </references>
      </pivotArea>
    </chartFormat>
    <chartFormat chart="2" format="16">
      <pivotArea type="data" outline="0" fieldPosition="0">
        <references count="2">
          <reference field="4294967294" count="1" selected="0">
            <x v="0"/>
          </reference>
          <reference field="1" count="1" selected="0">
            <x v="98"/>
          </reference>
        </references>
      </pivotArea>
    </chartFormat>
    <chartFormat chart="2" format="17">
      <pivotArea type="data" outline="0" fieldPosition="0">
        <references count="2">
          <reference field="4294967294" count="1" selected="0">
            <x v="0"/>
          </reference>
          <reference field="1" count="1" selected="0">
            <x v="114"/>
          </reference>
        </references>
      </pivotArea>
    </chartFormat>
    <chartFormat chart="2" format="18">
      <pivotArea type="data" outline="0" fieldPosition="0">
        <references count="2">
          <reference field="4294967294" count="1" selected="0">
            <x v="0"/>
          </reference>
          <reference field="1" count="1" selected="0">
            <x v="122"/>
          </reference>
        </references>
      </pivotArea>
    </chartFormat>
  </chartFormats>
  <pivotTableStyleInfo name="PivotStyleDark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D6D274D-D9F9-43F4-ADB3-CB29C4030E5C}" sourceName="Region">
  <pivotTables>
    <pivotTable tabId="3" name="PivotTable4"/>
    <pivotTable tabId="3" name="PivotTable3"/>
    <pivotTable tabId="3" name="PivotTable2"/>
    <pivotTable tabId="3" name="PivotTable1"/>
    <pivotTable tabId="2" name="PivotTable5"/>
    <pivotTable tabId="2" name="PivotTable6"/>
  </pivotTables>
  <data>
    <tabular pivotCacheId="102772332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5ABBD7D9-F406-47DD-8778-ABF728644689}" cache="Slicer_Region" caption="Region" columnCount="8" showCaption="0" style="Slicer Style 1 2"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AE2C209-71B7-433C-917B-9651E01C26C1}" name="Table2" displayName="Table2" ref="A1:Q142" totalsRowShown="0" headerRowDxfId="273" tableBorderDxfId="272">
  <autoFilter ref="A1:Q142" xr:uid="{CAE2C209-71B7-433C-917B-9651E01C26C1}"/>
  <tableColumns count="17">
    <tableColumn id="1" xr3:uid="{77346F7E-3857-42DB-B22A-93EFB86DDF45}" name="Emp Code" dataDxfId="271"/>
    <tableColumn id="2" xr3:uid="{B994128E-8292-4AF4-BE8E-909EA6DB4229}" name="Sales Executive" dataDxfId="270"/>
    <tableColumn id="3" xr3:uid="{5174E4F7-3AA6-4AE8-A1D3-2B8041D5909E}" name="Region" dataDxfId="269"/>
    <tableColumn id="4" xr3:uid="{E85768A3-E0EA-42F5-8F5C-619E630AA7E2}" name="Day1" dataDxfId="268"/>
    <tableColumn id="5" xr3:uid="{74C94450-3356-4113-84B1-16E3AA99506F}" name="Day2" dataDxfId="267"/>
    <tableColumn id="6" xr3:uid="{DBA33588-76F5-45EB-BB18-7ADC05A2D703}" name="Day3" dataDxfId="266"/>
    <tableColumn id="7" xr3:uid="{7A1F8F17-7AF0-43EF-9CDB-C18A8CA85A9C}" name="Day4" dataDxfId="265"/>
    <tableColumn id="8" xr3:uid="{4351024C-BCC3-4E50-A394-DC05417D767D}" name="Day5" dataDxfId="264"/>
    <tableColumn id="9" xr3:uid="{D0EEDC94-5BB4-4D04-BBAD-5A0489E4D8DA}" name="Total Sales" dataDxfId="263"/>
    <tableColumn id="10" xr3:uid="{0373126E-DF77-4AAA-9E19-56B57AAC7803}" name="Target" dataDxfId="262"/>
    <tableColumn id="11" xr3:uid="{B321561E-509C-4EFA-9CF3-BB3B9BC07F84}" name="Target Hit %" dataDxfId="261" dataCellStyle="Percent">
      <calculatedColumnFormula>I2/J2</calculatedColumnFormula>
    </tableColumn>
    <tableColumn id="12" xr3:uid="{8D53AE58-8FBD-40B9-A9FA-E7E94D5BB7E6}" name="Away From Target %" dataDxfId="260">
      <calculatedColumnFormula>100%-K2</calculatedColumnFormula>
    </tableColumn>
    <tableColumn id="13" xr3:uid="{B71F85BC-112E-4537-A6E2-75DA5174C372}" name="KPI Score" dataDxfId="259">
      <calculatedColumnFormula>K2*100</calculatedColumnFormula>
    </tableColumn>
    <tableColumn id="14" xr3:uid="{236E8533-6697-4365-BC20-15EA42ED14ED}" name="KPI Rating" dataDxfId="258">
      <calculatedColumnFormula array="1">_xlfn.IFS(
M2&gt;=80,"Outstanding",
M2&gt;=65,"Good",
M2&gt;=50,"Needs Improvement",
TRUE,"Critical"
)</calculatedColumnFormula>
    </tableColumn>
    <tableColumn id="15" xr3:uid="{7FECFD1B-A0B6-4B1E-A4AF-2AFD6DB72C4F}" name="KPI Ranking" dataDxfId="257">
      <calculatedColumnFormula>_xlfn.RANK.EQ(M2,$M:$M,0)</calculatedColumnFormula>
    </tableColumn>
    <tableColumn id="16" xr3:uid="{A8A1F88C-AA17-4E3F-8357-C724459D004E}" name="Target Achivement %" dataDxfId="256">
      <calculatedColumnFormula>Table2[[#This Row],[Total Sales]]/Table2[[#This Row],[Target]]*100</calculatedColumnFormula>
    </tableColumn>
    <tableColumn id="17" xr3:uid="{1C7F6701-A4D0-4C97-B6DF-4BE5101C19EE}" name="Column1" dataDxfId="25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table" Target="../tables/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7.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8.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E0E96-DB7C-40F9-8825-4CBB2B80ED2A}">
  <sheetPr codeName="Sheet3"/>
  <dimension ref="A1:V142"/>
  <sheetViews>
    <sheetView topLeftCell="F1" zoomScale="103" workbookViewId="0">
      <selection activeCell="R18" sqref="R18"/>
    </sheetView>
  </sheetViews>
  <sheetFormatPr defaultRowHeight="14.4" x14ac:dyDescent="0.3"/>
  <cols>
    <col min="1" max="1" width="11.21875" bestFit="1" customWidth="1"/>
    <col min="2" max="2" width="19.21875" bestFit="1" customWidth="1"/>
    <col min="3" max="3" width="8.33203125" customWidth="1"/>
    <col min="4" max="8" width="6.88671875" customWidth="1"/>
    <col min="9" max="9" width="11.44140625" customWidth="1"/>
    <col min="10" max="10" width="7.77734375" customWidth="1"/>
    <col min="11" max="11" width="12.109375" customWidth="1"/>
    <col min="12" max="12" width="18.44140625" customWidth="1"/>
    <col min="13" max="13" width="10.44140625" customWidth="1"/>
    <col min="14" max="14" width="17.6640625" customWidth="1"/>
    <col min="15" max="15" width="12.109375" customWidth="1"/>
    <col min="16" max="16" width="17.6640625" customWidth="1"/>
    <col min="18" max="18" width="12.6640625" bestFit="1" customWidth="1"/>
    <col min="19" max="19" width="12.44140625" bestFit="1" customWidth="1"/>
    <col min="20" max="22" width="24.77734375" bestFit="1" customWidth="1"/>
  </cols>
  <sheetData>
    <row r="1" spans="1:22" x14ac:dyDescent="0.3">
      <c r="A1" s="11" t="s">
        <v>0</v>
      </c>
      <c r="B1" s="12" t="s">
        <v>1</v>
      </c>
      <c r="C1" s="12" t="s">
        <v>2</v>
      </c>
      <c r="D1" s="12" t="s">
        <v>3</v>
      </c>
      <c r="E1" s="12" t="s">
        <v>4</v>
      </c>
      <c r="F1" s="12" t="s">
        <v>5</v>
      </c>
      <c r="G1" s="12" t="s">
        <v>6</v>
      </c>
      <c r="H1" s="12" t="s">
        <v>7</v>
      </c>
      <c r="I1" s="12" t="s">
        <v>8</v>
      </c>
      <c r="J1" s="12" t="s">
        <v>9</v>
      </c>
      <c r="K1" s="12" t="s">
        <v>10</v>
      </c>
      <c r="L1" s="13" t="s">
        <v>11</v>
      </c>
      <c r="M1" s="14" t="s">
        <v>305</v>
      </c>
      <c r="N1" s="15" t="s">
        <v>306</v>
      </c>
      <c r="O1" s="13" t="s">
        <v>307</v>
      </c>
      <c r="P1" s="59" t="s">
        <v>313</v>
      </c>
      <c r="Q1" s="59" t="s">
        <v>314</v>
      </c>
    </row>
    <row r="2" spans="1:22" x14ac:dyDescent="0.3">
      <c r="A2" s="9" t="s">
        <v>12</v>
      </c>
      <c r="B2" s="1" t="s">
        <v>13</v>
      </c>
      <c r="C2" s="1" t="s">
        <v>14</v>
      </c>
      <c r="D2" s="2">
        <v>49</v>
      </c>
      <c r="E2" s="2">
        <v>84</v>
      </c>
      <c r="F2" s="2">
        <v>98</v>
      </c>
      <c r="G2" s="2">
        <v>67</v>
      </c>
      <c r="H2" s="2">
        <v>41</v>
      </c>
      <c r="I2" s="3">
        <v>339</v>
      </c>
      <c r="J2" s="3">
        <v>500</v>
      </c>
      <c r="K2" s="4">
        <f>I2/J2</f>
        <v>0.67800000000000005</v>
      </c>
      <c r="L2" s="6">
        <f>100%-K2</f>
        <v>0.32199999999999995</v>
      </c>
      <c r="M2" s="7">
        <f>K2*100</f>
        <v>67.800000000000011</v>
      </c>
      <c r="N2" s="7" t="str" cm="1">
        <f t="array" ref="N2">_xlfn.IFS(
M2&gt;=80,"Outstanding",
M2&gt;=65,"Good",
M2&gt;=50,"Needs Improvement",
TRUE,"Critical"
)</f>
        <v>Good</v>
      </c>
      <c r="O2" s="10">
        <f>_xlfn.RANK.EQ(M2,$M:$M,0)</f>
        <v>24</v>
      </c>
      <c r="P2">
        <f>Table2[[#This Row],[Total Sales]]/Table2[[#This Row],[Target]]*100</f>
        <v>67.800000000000011</v>
      </c>
    </row>
    <row r="3" spans="1:22" x14ac:dyDescent="0.3">
      <c r="A3" s="9" t="s">
        <v>15</v>
      </c>
      <c r="B3" s="1" t="s">
        <v>16</v>
      </c>
      <c r="C3" s="1" t="s">
        <v>17</v>
      </c>
      <c r="D3" s="2">
        <v>44</v>
      </c>
      <c r="E3" s="2">
        <v>85</v>
      </c>
      <c r="F3" s="2">
        <v>47</v>
      </c>
      <c r="G3" s="2">
        <v>15</v>
      </c>
      <c r="H3" s="2">
        <v>48</v>
      </c>
      <c r="I3" s="3">
        <v>239</v>
      </c>
      <c r="J3" s="3">
        <v>500</v>
      </c>
      <c r="K3" s="4">
        <f>I3/J3</f>
        <v>0.47799999999999998</v>
      </c>
      <c r="L3" s="6">
        <f>100%-K3</f>
        <v>0.52200000000000002</v>
      </c>
      <c r="M3" s="7">
        <f>K3*100</f>
        <v>47.8</v>
      </c>
      <c r="N3" s="7" t="str" cm="1">
        <f t="array" ref="N3">_xlfn.IFS(
M3&gt;=80,"Outstanding",
M3&gt;=65,"Good",
M3&gt;=50,"Needs Improvement",
TRUE,"Critical"
)</f>
        <v>Critical</v>
      </c>
      <c r="O3" s="10">
        <f>_xlfn.RANK.EQ(M3,$M:$M,0)</f>
        <v>99</v>
      </c>
      <c r="P3">
        <f>Table2[[#This Row],[Total Sales]]/Table2[[#This Row],[Target]]*100</f>
        <v>47.8</v>
      </c>
    </row>
    <row r="4" spans="1:22" x14ac:dyDescent="0.3">
      <c r="A4" s="9" t="s">
        <v>18</v>
      </c>
      <c r="B4" s="1" t="s">
        <v>19</v>
      </c>
      <c r="C4" s="1" t="s">
        <v>20</v>
      </c>
      <c r="D4" s="2">
        <v>45</v>
      </c>
      <c r="E4" s="2">
        <v>79</v>
      </c>
      <c r="F4" s="2">
        <v>88</v>
      </c>
      <c r="G4" s="2">
        <v>73</v>
      </c>
      <c r="H4" s="2">
        <v>94</v>
      </c>
      <c r="I4" s="3">
        <v>379</v>
      </c>
      <c r="J4" s="3">
        <v>500</v>
      </c>
      <c r="K4" s="4">
        <f>I4/J4</f>
        <v>0.75800000000000001</v>
      </c>
      <c r="L4" s="6">
        <f>100%-K4</f>
        <v>0.24199999999999999</v>
      </c>
      <c r="M4" s="7">
        <f>K4*100</f>
        <v>75.8</v>
      </c>
      <c r="N4" s="7" t="str" cm="1">
        <f t="array" ref="N4">_xlfn.IFS(
M4&gt;=80,"Outstanding",
M4&gt;=65,"Good",
M4&gt;=50,"Needs Improvement",
TRUE,"Critical"
)</f>
        <v>Good</v>
      </c>
      <c r="O4" s="10">
        <f>_xlfn.RANK.EQ(M4,$M:$M,0)</f>
        <v>5</v>
      </c>
      <c r="P4">
        <f>Table2[[#This Row],[Total Sales]]/Table2[[#This Row],[Target]]*100</f>
        <v>75.8</v>
      </c>
    </row>
    <row r="5" spans="1:22" x14ac:dyDescent="0.3">
      <c r="A5" s="9" t="s">
        <v>21</v>
      </c>
      <c r="B5" s="1" t="s">
        <v>22</v>
      </c>
      <c r="C5" s="1" t="s">
        <v>23</v>
      </c>
      <c r="D5" s="2">
        <v>52</v>
      </c>
      <c r="E5" s="2">
        <v>99</v>
      </c>
      <c r="F5" s="2">
        <v>13</v>
      </c>
      <c r="G5" s="2">
        <v>95</v>
      </c>
      <c r="H5" s="2">
        <v>29</v>
      </c>
      <c r="I5" s="3">
        <v>288</v>
      </c>
      <c r="J5" s="3">
        <v>500</v>
      </c>
      <c r="K5" s="4">
        <f>I5/J5</f>
        <v>0.57599999999999996</v>
      </c>
      <c r="L5" s="6">
        <f>100%-K5</f>
        <v>0.42400000000000004</v>
      </c>
      <c r="M5" s="7">
        <f>K5*100</f>
        <v>57.599999999999994</v>
      </c>
      <c r="N5" s="7" t="str" cm="1">
        <f t="array" ref="N5">_xlfn.IFS(
M5&gt;=80,"Outstanding",
M5&gt;=65,"Good",
M5&gt;=50,"Needs Improvement",
TRUE,"Critical"
)</f>
        <v>Needs Improvement</v>
      </c>
      <c r="O5" s="10">
        <f>_xlfn.RANK.EQ(M5,$M:$M,0)</f>
        <v>60</v>
      </c>
      <c r="P5">
        <f>Table2[[#This Row],[Total Sales]]/Table2[[#This Row],[Target]]*100</f>
        <v>57.599999999999994</v>
      </c>
    </row>
    <row r="6" spans="1:22" x14ac:dyDescent="0.3">
      <c r="A6" s="9" t="s">
        <v>24</v>
      </c>
      <c r="B6" s="1" t="s">
        <v>25</v>
      </c>
      <c r="C6" s="1" t="s">
        <v>26</v>
      </c>
      <c r="D6" s="2">
        <v>35</v>
      </c>
      <c r="E6" s="2">
        <v>54</v>
      </c>
      <c r="F6" s="2">
        <v>49</v>
      </c>
      <c r="G6" s="2">
        <v>26</v>
      </c>
      <c r="H6" s="2">
        <v>49</v>
      </c>
      <c r="I6" s="3">
        <v>213</v>
      </c>
      <c r="J6" s="3">
        <v>500</v>
      </c>
      <c r="K6" s="4">
        <f>I6/J6</f>
        <v>0.42599999999999999</v>
      </c>
      <c r="L6" s="6">
        <f>100%-K6</f>
        <v>0.57400000000000007</v>
      </c>
      <c r="M6" s="7">
        <f>K6*100</f>
        <v>42.6</v>
      </c>
      <c r="N6" s="7" t="str" cm="1">
        <f t="array" ref="N6">_xlfn.IFS(
M6&gt;=80,"Outstanding",
M6&gt;=65,"Good",
M6&gt;=50,"Needs Improvement",
TRUE,"Critical"
)</f>
        <v>Critical</v>
      </c>
      <c r="O6" s="10">
        <f>_xlfn.RANK.EQ(M6,$M:$M,0)</f>
        <v>118</v>
      </c>
      <c r="P6">
        <f>Table2[[#This Row],[Total Sales]]/Table2[[#This Row],[Target]]*100</f>
        <v>42.6</v>
      </c>
    </row>
    <row r="7" spans="1:22" x14ac:dyDescent="0.3">
      <c r="A7" s="9" t="s">
        <v>27</v>
      </c>
      <c r="B7" s="1" t="s">
        <v>28</v>
      </c>
      <c r="C7" s="1" t="s">
        <v>29</v>
      </c>
      <c r="D7" s="2">
        <v>86</v>
      </c>
      <c r="E7" s="2">
        <v>31</v>
      </c>
      <c r="F7" s="2">
        <v>23</v>
      </c>
      <c r="G7" s="2">
        <v>48</v>
      </c>
      <c r="H7" s="2">
        <v>77</v>
      </c>
      <c r="I7" s="3">
        <v>265</v>
      </c>
      <c r="J7" s="3">
        <v>500</v>
      </c>
      <c r="K7" s="4">
        <f>I7/J7</f>
        <v>0.53</v>
      </c>
      <c r="L7" s="6">
        <f>100%-K7</f>
        <v>0.47</v>
      </c>
      <c r="M7" s="7">
        <f>K7*100</f>
        <v>53</v>
      </c>
      <c r="N7" s="7" t="str" cm="1">
        <f t="array" ref="N7">_xlfn.IFS(
M7&gt;=80,"Outstanding",
M7&gt;=65,"Good",
M7&gt;=50,"Needs Improvement",
TRUE,"Critical"
)</f>
        <v>Needs Improvement</v>
      </c>
      <c r="O7" s="10">
        <f>_xlfn.RANK.EQ(M7,$M:$M,0)</f>
        <v>83</v>
      </c>
      <c r="P7">
        <f>Table2[[#This Row],[Total Sales]]/Table2[[#This Row],[Target]]*100</f>
        <v>53</v>
      </c>
    </row>
    <row r="8" spans="1:22" x14ac:dyDescent="0.3">
      <c r="A8" s="9" t="s">
        <v>30</v>
      </c>
      <c r="B8" s="1" t="s">
        <v>31</v>
      </c>
      <c r="C8" s="1" t="s">
        <v>32</v>
      </c>
      <c r="D8" s="2">
        <v>84</v>
      </c>
      <c r="E8" s="2">
        <v>28</v>
      </c>
      <c r="F8" s="2">
        <v>98</v>
      </c>
      <c r="G8" s="2">
        <v>80</v>
      </c>
      <c r="H8" s="2">
        <v>79</v>
      </c>
      <c r="I8" s="3">
        <v>369</v>
      </c>
      <c r="J8" s="3">
        <v>500</v>
      </c>
      <c r="K8" s="4">
        <f>I8/J8</f>
        <v>0.73799999999999999</v>
      </c>
      <c r="L8" s="6">
        <f>100%-K8</f>
        <v>0.26200000000000001</v>
      </c>
      <c r="M8" s="7">
        <f>K8*100</f>
        <v>73.8</v>
      </c>
      <c r="N8" s="7" t="str" cm="1">
        <f t="array" ref="N8">_xlfn.IFS(
M8&gt;=80,"Outstanding",
M8&gt;=65,"Good",
M8&gt;=50,"Needs Improvement",
TRUE,"Critical"
)</f>
        <v>Good</v>
      </c>
      <c r="O8" s="10">
        <f>_xlfn.RANK.EQ(M8,$M:$M,0)</f>
        <v>9</v>
      </c>
      <c r="P8">
        <f>Table2[[#This Row],[Total Sales]]/Table2[[#This Row],[Target]]*100</f>
        <v>73.8</v>
      </c>
    </row>
    <row r="9" spans="1:22" x14ac:dyDescent="0.3">
      <c r="A9" s="9" t="s">
        <v>33</v>
      </c>
      <c r="B9" s="1" t="s">
        <v>34</v>
      </c>
      <c r="C9" s="1" t="s">
        <v>35</v>
      </c>
      <c r="D9" s="2">
        <v>73</v>
      </c>
      <c r="E9" s="2">
        <v>97</v>
      </c>
      <c r="F9" s="2">
        <v>38</v>
      </c>
      <c r="G9" s="2">
        <v>24</v>
      </c>
      <c r="H9" s="2">
        <v>53</v>
      </c>
      <c r="I9" s="3">
        <v>285</v>
      </c>
      <c r="J9" s="3">
        <v>500</v>
      </c>
      <c r="K9" s="4">
        <f>I9/J9</f>
        <v>0.56999999999999995</v>
      </c>
      <c r="L9" s="6">
        <f>100%-K9</f>
        <v>0.43000000000000005</v>
      </c>
      <c r="M9" s="7">
        <f>K9*100</f>
        <v>56.999999999999993</v>
      </c>
      <c r="N9" s="7" t="str" cm="1">
        <f t="array" ref="N9">_xlfn.IFS(
M9&gt;=80,"Outstanding",
M9&gt;=65,"Good",
M9&gt;=50,"Needs Improvement",
TRUE,"Critical"
)</f>
        <v>Needs Improvement</v>
      </c>
      <c r="O9" s="10">
        <f>_xlfn.RANK.EQ(M9,$M:$M,0)</f>
        <v>67</v>
      </c>
      <c r="P9">
        <f>Table2[[#This Row],[Total Sales]]/Table2[[#This Row],[Target]]*100</f>
        <v>56.999999999999993</v>
      </c>
    </row>
    <row r="10" spans="1:22" x14ac:dyDescent="0.3">
      <c r="A10" s="9" t="s">
        <v>36</v>
      </c>
      <c r="B10" s="1" t="s">
        <v>37</v>
      </c>
      <c r="C10" s="1" t="s">
        <v>14</v>
      </c>
      <c r="D10" s="2">
        <v>54</v>
      </c>
      <c r="E10" s="2">
        <v>26</v>
      </c>
      <c r="F10" s="2">
        <v>53</v>
      </c>
      <c r="G10" s="2">
        <v>36</v>
      </c>
      <c r="H10" s="2">
        <v>20</v>
      </c>
      <c r="I10" s="3">
        <v>189</v>
      </c>
      <c r="J10" s="3">
        <v>500</v>
      </c>
      <c r="K10" s="4">
        <f>I10/J10</f>
        <v>0.378</v>
      </c>
      <c r="L10" s="6">
        <f>100%-K10</f>
        <v>0.622</v>
      </c>
      <c r="M10" s="7">
        <f>K10*100</f>
        <v>37.799999999999997</v>
      </c>
      <c r="N10" s="7" t="str" cm="1">
        <f t="array" ref="N10">_xlfn.IFS(
M10&gt;=80,"Outstanding",
M10&gt;=65,"Good",
M10&gt;=50,"Needs Improvement",
TRUE,"Critical"
)</f>
        <v>Critical</v>
      </c>
      <c r="O10" s="10">
        <f>_xlfn.RANK.EQ(M10,$M:$M,0)</f>
        <v>132</v>
      </c>
      <c r="P10">
        <f>Table2[[#This Row],[Total Sales]]/Table2[[#This Row],[Target]]*100</f>
        <v>37.799999999999997</v>
      </c>
      <c r="R10" t="s">
        <v>308</v>
      </c>
    </row>
    <row r="11" spans="1:22" ht="15" thickBot="1" x14ac:dyDescent="0.35">
      <c r="A11" s="9" t="s">
        <v>38</v>
      </c>
      <c r="B11" s="1" t="s">
        <v>39</v>
      </c>
      <c r="C11" s="1" t="s">
        <v>17</v>
      </c>
      <c r="D11" s="2">
        <v>52</v>
      </c>
      <c r="E11" s="2">
        <v>52</v>
      </c>
      <c r="F11" s="2">
        <v>19</v>
      </c>
      <c r="G11" s="2">
        <v>53</v>
      </c>
      <c r="H11" s="2">
        <v>37</v>
      </c>
      <c r="I11" s="3">
        <v>213</v>
      </c>
      <c r="J11" s="3">
        <v>500</v>
      </c>
      <c r="K11" s="4">
        <f>I11/J11</f>
        <v>0.42599999999999999</v>
      </c>
      <c r="L11" s="6">
        <f>100%-K11</f>
        <v>0.57400000000000007</v>
      </c>
      <c r="M11" s="7">
        <f>K11*100</f>
        <v>42.6</v>
      </c>
      <c r="N11" s="7" t="str" cm="1">
        <f t="array" ref="N11">_xlfn.IFS(
M11&gt;=80,"Outstanding",
M11&gt;=65,"Good",
M11&gt;=50,"Needs Improvement",
TRUE,"Critical"
)</f>
        <v>Critical</v>
      </c>
      <c r="O11" s="10">
        <f>_xlfn.RANK.EQ(M11,$M:$M,0)</f>
        <v>118</v>
      </c>
      <c r="P11">
        <f>Table2[[#This Row],[Total Sales]]/Table2[[#This Row],[Target]]*100</f>
        <v>42.6</v>
      </c>
      <c r="R11" s="48">
        <v>38945</v>
      </c>
    </row>
    <row r="12" spans="1:22" ht="15" thickBot="1" x14ac:dyDescent="0.35">
      <c r="A12" s="9" t="s">
        <v>40</v>
      </c>
      <c r="B12" s="1" t="s">
        <v>41</v>
      </c>
      <c r="C12" s="1" t="s">
        <v>20</v>
      </c>
      <c r="D12" s="2">
        <v>63</v>
      </c>
      <c r="E12" s="2">
        <v>17</v>
      </c>
      <c r="F12" s="2">
        <v>40</v>
      </c>
      <c r="G12" s="2">
        <v>48</v>
      </c>
      <c r="H12" s="2">
        <v>51</v>
      </c>
      <c r="I12" s="3">
        <v>219</v>
      </c>
      <c r="J12" s="3">
        <v>500</v>
      </c>
      <c r="K12" s="4">
        <f>I12/J12</f>
        <v>0.438</v>
      </c>
      <c r="L12" s="6">
        <f>100%-K12</f>
        <v>0.56200000000000006</v>
      </c>
      <c r="M12" s="7">
        <f>K12*100</f>
        <v>43.8</v>
      </c>
      <c r="N12" s="7" t="str" cm="1">
        <f t="array" ref="N12">_xlfn.IFS(
M12&gt;=80,"Outstanding",
M12&gt;=65,"Good",
M12&gt;=50,"Needs Improvement",
TRUE,"Critical"
)</f>
        <v>Critical</v>
      </c>
      <c r="O12" s="10">
        <f>_xlfn.RANK.EQ(M12,$M:$M,0)</f>
        <v>112</v>
      </c>
      <c r="P12">
        <f>Table2[[#This Row],[Total Sales]]/Table2[[#This Row],[Target]]*100</f>
        <v>43.8</v>
      </c>
      <c r="T12" s="54" t="s">
        <v>311</v>
      </c>
      <c r="U12" s="57" t="s">
        <v>312</v>
      </c>
      <c r="V12" s="49" t="s">
        <v>308</v>
      </c>
    </row>
    <row r="13" spans="1:22" ht="15" thickBot="1" x14ac:dyDescent="0.35">
      <c r="A13" s="9" t="s">
        <v>42</v>
      </c>
      <c r="B13" s="1" t="s">
        <v>43</v>
      </c>
      <c r="C13" s="1" t="s">
        <v>23</v>
      </c>
      <c r="D13" s="2">
        <v>79</v>
      </c>
      <c r="E13" s="2">
        <v>99</v>
      </c>
      <c r="F13" s="2">
        <v>95</v>
      </c>
      <c r="G13" s="2">
        <v>12</v>
      </c>
      <c r="H13" s="2">
        <v>91</v>
      </c>
      <c r="I13" s="3">
        <v>376</v>
      </c>
      <c r="J13" s="3">
        <v>500</v>
      </c>
      <c r="K13" s="4">
        <f>I13/J13</f>
        <v>0.752</v>
      </c>
      <c r="L13" s="6">
        <f>100%-K13</f>
        <v>0.248</v>
      </c>
      <c r="M13" s="7">
        <f>K13*100</f>
        <v>75.2</v>
      </c>
      <c r="N13" s="7" t="str" cm="1">
        <f t="array" ref="N13">_xlfn.IFS(
M13&gt;=80,"Outstanding",
M13&gt;=65,"Good",
M13&gt;=50,"Needs Improvement",
TRUE,"Critical"
)</f>
        <v>Good</v>
      </c>
      <c r="O13" s="10">
        <f>_xlfn.RANK.EQ(M13,$M:$M,0)</f>
        <v>6</v>
      </c>
      <c r="P13">
        <f>Table2[[#This Row],[Total Sales]]/Table2[[#This Row],[Target]]*100</f>
        <v>75.2</v>
      </c>
      <c r="T13" s="55">
        <v>9000</v>
      </c>
      <c r="U13" s="58">
        <v>55.166666666666664</v>
      </c>
      <c r="V13" s="56">
        <v>4965</v>
      </c>
    </row>
    <row r="14" spans="1:22" x14ac:dyDescent="0.3">
      <c r="A14" s="9" t="s">
        <v>44</v>
      </c>
      <c r="B14" s="1" t="s">
        <v>45</v>
      </c>
      <c r="C14" s="1" t="s">
        <v>26</v>
      </c>
      <c r="D14" s="5">
        <v>95</v>
      </c>
      <c r="E14" s="2">
        <v>88</v>
      </c>
      <c r="F14" s="2">
        <v>11</v>
      </c>
      <c r="G14" s="2">
        <v>78</v>
      </c>
      <c r="H14" s="2">
        <v>60</v>
      </c>
      <c r="I14" s="3">
        <v>332</v>
      </c>
      <c r="J14" s="3">
        <v>500</v>
      </c>
      <c r="K14" s="4">
        <f>I14/J14</f>
        <v>0.66400000000000003</v>
      </c>
      <c r="L14" s="6">
        <f>100%-K14</f>
        <v>0.33599999999999997</v>
      </c>
      <c r="M14" s="7">
        <f>K14*100</f>
        <v>66.400000000000006</v>
      </c>
      <c r="N14" s="7" t="str" cm="1">
        <f t="array" ref="N14">_xlfn.IFS(
M14&gt;=80,"Outstanding",
M14&gt;=65,"Good",
M14&gt;=50,"Needs Improvement",
TRUE,"Critical"
)</f>
        <v>Good</v>
      </c>
      <c r="O14" s="10">
        <f>_xlfn.RANK.EQ(M14,$M:$M,0)</f>
        <v>26</v>
      </c>
      <c r="P14">
        <f>Table2[[#This Row],[Total Sales]]/Table2[[#This Row],[Target]]*100</f>
        <v>66.400000000000006</v>
      </c>
      <c r="R14" s="8" t="s">
        <v>309</v>
      </c>
    </row>
    <row r="15" spans="1:22" x14ac:dyDescent="0.3">
      <c r="A15" s="9" t="s">
        <v>46</v>
      </c>
      <c r="B15" s="1" t="s">
        <v>47</v>
      </c>
      <c r="C15" s="1" t="s">
        <v>29</v>
      </c>
      <c r="D15" s="2">
        <v>83</v>
      </c>
      <c r="E15" s="2">
        <v>77</v>
      </c>
      <c r="F15" s="2">
        <v>66</v>
      </c>
      <c r="G15" s="2">
        <v>22</v>
      </c>
      <c r="H15" s="2">
        <v>40</v>
      </c>
      <c r="I15" s="3">
        <v>288</v>
      </c>
      <c r="J15" s="3">
        <v>500</v>
      </c>
      <c r="K15" s="4">
        <f>I15/J15</f>
        <v>0.57599999999999996</v>
      </c>
      <c r="L15" s="6">
        <f>100%-K15</f>
        <v>0.42400000000000004</v>
      </c>
      <c r="M15" s="7">
        <f>K15*100</f>
        <v>57.599999999999994</v>
      </c>
      <c r="N15" s="7" t="str" cm="1">
        <f t="array" ref="N15">_xlfn.IFS(
M15&gt;=80,"Outstanding",
M15&gt;=65,"Good",
M15&gt;=50,"Needs Improvement",
TRUE,"Critical"
)</f>
        <v>Needs Improvement</v>
      </c>
      <c r="O15" s="10">
        <f>_xlfn.RANK.EQ(M15,$M:$M,0)</f>
        <v>60</v>
      </c>
      <c r="P15">
        <f>Table2[[#This Row],[Total Sales]]/Table2[[#This Row],[Target]]*100</f>
        <v>57.599999999999994</v>
      </c>
      <c r="R15" s="50">
        <v>4965</v>
      </c>
    </row>
    <row r="16" spans="1:22" x14ac:dyDescent="0.3">
      <c r="A16" s="9" t="s">
        <v>48</v>
      </c>
      <c r="B16" s="1" t="s">
        <v>49</v>
      </c>
      <c r="C16" s="1" t="s">
        <v>32</v>
      </c>
      <c r="D16" s="2">
        <v>78</v>
      </c>
      <c r="E16" s="2">
        <v>58</v>
      </c>
      <c r="F16" s="2">
        <v>34</v>
      </c>
      <c r="G16" s="2">
        <v>84</v>
      </c>
      <c r="H16" s="2">
        <v>31</v>
      </c>
      <c r="I16" s="3">
        <v>285</v>
      </c>
      <c r="J16" s="3">
        <v>500</v>
      </c>
      <c r="K16" s="4">
        <f>I16/J16</f>
        <v>0.56999999999999995</v>
      </c>
      <c r="L16" s="6">
        <f>100%-K16</f>
        <v>0.43000000000000005</v>
      </c>
      <c r="M16" s="7">
        <f>K16*100</f>
        <v>56.999999999999993</v>
      </c>
      <c r="N16" s="7" t="str" cm="1">
        <f t="array" ref="N16">_xlfn.IFS(
M16&gt;=80,"Outstanding",
M16&gt;=65,"Good",
M16&gt;=50,"Needs Improvement",
TRUE,"Critical"
)</f>
        <v>Needs Improvement</v>
      </c>
      <c r="O16" s="10">
        <f>_xlfn.RANK.EQ(M16,$M:$M,0)</f>
        <v>67</v>
      </c>
      <c r="P16">
        <f>Table2[[#This Row],[Total Sales]]/Table2[[#This Row],[Target]]*100</f>
        <v>56.999999999999993</v>
      </c>
    </row>
    <row r="17" spans="1:18" x14ac:dyDescent="0.3">
      <c r="A17" s="9" t="s">
        <v>50</v>
      </c>
      <c r="B17" s="1" t="s">
        <v>51</v>
      </c>
      <c r="C17" s="1" t="s">
        <v>35</v>
      </c>
      <c r="D17" s="2">
        <v>14</v>
      </c>
      <c r="E17" s="2">
        <v>25</v>
      </c>
      <c r="F17" s="2">
        <v>45</v>
      </c>
      <c r="G17" s="2">
        <v>70</v>
      </c>
      <c r="H17" s="2">
        <v>45</v>
      </c>
      <c r="I17" s="3">
        <v>199</v>
      </c>
      <c r="J17" s="3">
        <v>500</v>
      </c>
      <c r="K17" s="4">
        <f>I17/J17</f>
        <v>0.39800000000000002</v>
      </c>
      <c r="L17" s="6">
        <f>100%-K17</f>
        <v>0.60199999999999998</v>
      </c>
      <c r="M17" s="7">
        <f>K17*100</f>
        <v>39.800000000000004</v>
      </c>
      <c r="N17" s="7" t="str" cm="1">
        <f t="array" ref="N17">_xlfn.IFS(
M17&gt;=80,"Outstanding",
M17&gt;=65,"Good",
M17&gt;=50,"Needs Improvement",
TRUE,"Critical"
)</f>
        <v>Critical</v>
      </c>
      <c r="O17" s="10">
        <f>_xlfn.RANK.EQ(M17,$M:$M,0)</f>
        <v>129</v>
      </c>
      <c r="P17">
        <f>Table2[[#This Row],[Total Sales]]/Table2[[#This Row],[Target]]*100</f>
        <v>39.800000000000004</v>
      </c>
    </row>
    <row r="18" spans="1:18" x14ac:dyDescent="0.3">
      <c r="A18" s="9" t="s">
        <v>52</v>
      </c>
      <c r="B18" s="1" t="s">
        <v>53</v>
      </c>
      <c r="C18" s="1" t="s">
        <v>14</v>
      </c>
      <c r="D18" s="2">
        <v>37</v>
      </c>
      <c r="E18" s="2">
        <v>69</v>
      </c>
      <c r="F18" s="2">
        <v>96</v>
      </c>
      <c r="G18" s="2">
        <v>66</v>
      </c>
      <c r="H18" s="2">
        <v>38</v>
      </c>
      <c r="I18" s="3">
        <v>306</v>
      </c>
      <c r="J18" s="3">
        <v>500</v>
      </c>
      <c r="K18" s="4">
        <f>I18/J18</f>
        <v>0.61199999999999999</v>
      </c>
      <c r="L18" s="6">
        <f>100%-K18</f>
        <v>0.38800000000000001</v>
      </c>
      <c r="M18" s="7">
        <f>K18*100</f>
        <v>61.199999999999996</v>
      </c>
      <c r="N18" s="7" t="str" cm="1">
        <f t="array" ref="N18">_xlfn.IFS(
M18&gt;=80,"Outstanding",
M18&gt;=65,"Good",
M18&gt;=50,"Needs Improvement",
TRUE,"Critical"
)</f>
        <v>Needs Improvement</v>
      </c>
      <c r="O18" s="10">
        <f>_xlfn.RANK.EQ(M18,$M:$M,0)</f>
        <v>45</v>
      </c>
      <c r="P18">
        <f>Table2[[#This Row],[Total Sales]]/Table2[[#This Row],[Target]]*100</f>
        <v>61.199999999999996</v>
      </c>
      <c r="R18" t="s">
        <v>310</v>
      </c>
    </row>
    <row r="19" spans="1:18" x14ac:dyDescent="0.3">
      <c r="A19" s="9" t="s">
        <v>54</v>
      </c>
      <c r="B19" s="1" t="s">
        <v>55</v>
      </c>
      <c r="C19" s="1" t="s">
        <v>17</v>
      </c>
      <c r="D19" s="2">
        <v>11</v>
      </c>
      <c r="E19" s="2">
        <v>46</v>
      </c>
      <c r="F19" s="2">
        <v>91</v>
      </c>
      <c r="G19" s="2">
        <v>98</v>
      </c>
      <c r="H19" s="2">
        <v>45</v>
      </c>
      <c r="I19" s="3">
        <v>291</v>
      </c>
      <c r="J19" s="3">
        <v>500</v>
      </c>
      <c r="K19" s="4">
        <f>I19/J19</f>
        <v>0.58199999999999996</v>
      </c>
      <c r="L19" s="6">
        <f>100%-K19</f>
        <v>0.41800000000000004</v>
      </c>
      <c r="M19" s="7">
        <f>K19*100</f>
        <v>58.199999999999996</v>
      </c>
      <c r="N19" s="7" t="str" cm="1">
        <f t="array" ref="N19">_xlfn.IFS(
M19&gt;=80,"Outstanding",
M19&gt;=65,"Good",
M19&gt;=50,"Needs Improvement",
TRUE,"Critical"
)</f>
        <v>Needs Improvement</v>
      </c>
      <c r="O19" s="10">
        <f>_xlfn.RANK.EQ(M19,$M:$M,0)</f>
        <v>58</v>
      </c>
      <c r="P19">
        <f>Table2[[#This Row],[Total Sales]]/Table2[[#This Row],[Target]]*100</f>
        <v>58.199999999999996</v>
      </c>
      <c r="R19" s="48">
        <v>50</v>
      </c>
    </row>
    <row r="20" spans="1:18" x14ac:dyDescent="0.3">
      <c r="A20" s="9" t="s">
        <v>56</v>
      </c>
      <c r="B20" s="1" t="s">
        <v>57</v>
      </c>
      <c r="C20" s="1" t="s">
        <v>20</v>
      </c>
      <c r="D20" s="2">
        <v>19</v>
      </c>
      <c r="E20" s="2">
        <v>34</v>
      </c>
      <c r="F20" s="2">
        <v>64</v>
      </c>
      <c r="G20" s="2">
        <v>65</v>
      </c>
      <c r="H20" s="2">
        <v>70</v>
      </c>
      <c r="I20" s="3">
        <v>252</v>
      </c>
      <c r="J20" s="3">
        <v>500</v>
      </c>
      <c r="K20" s="4">
        <f>I20/J20</f>
        <v>0.504</v>
      </c>
      <c r="L20" s="6">
        <f>100%-K20</f>
        <v>0.496</v>
      </c>
      <c r="M20" s="7">
        <f>K20*100</f>
        <v>50.4</v>
      </c>
      <c r="N20" s="7" t="str" cm="1">
        <f t="array" ref="N20">_xlfn.IFS(
M20&gt;=80,"Outstanding",
M20&gt;=65,"Good",
M20&gt;=50,"Needs Improvement",
TRUE,"Critical"
)</f>
        <v>Needs Improvement</v>
      </c>
      <c r="O20" s="10">
        <f>_xlfn.RANK.EQ(M20,$M:$M,0)</f>
        <v>91</v>
      </c>
      <c r="P20">
        <f>Table2[[#This Row],[Total Sales]]/Table2[[#This Row],[Target]]*100</f>
        <v>50.4</v>
      </c>
    </row>
    <row r="21" spans="1:18" x14ac:dyDescent="0.3">
      <c r="A21" s="9" t="s">
        <v>58</v>
      </c>
      <c r="B21" s="1" t="s">
        <v>59</v>
      </c>
      <c r="C21" s="1" t="s">
        <v>23</v>
      </c>
      <c r="D21" s="2">
        <v>93</v>
      </c>
      <c r="E21" s="2">
        <v>84</v>
      </c>
      <c r="F21" s="2">
        <v>13</v>
      </c>
      <c r="G21" s="2">
        <v>45</v>
      </c>
      <c r="H21" s="2">
        <v>18</v>
      </c>
      <c r="I21" s="3">
        <v>253</v>
      </c>
      <c r="J21" s="3">
        <v>500</v>
      </c>
      <c r="K21" s="4">
        <f>I21/J21</f>
        <v>0.50600000000000001</v>
      </c>
      <c r="L21" s="6">
        <f>100%-K21</f>
        <v>0.49399999999999999</v>
      </c>
      <c r="M21" s="7">
        <f>K21*100</f>
        <v>50.6</v>
      </c>
      <c r="N21" s="7" t="str" cm="1">
        <f t="array" ref="N21">_xlfn.IFS(
M21&gt;=80,"Outstanding",
M21&gt;=65,"Good",
M21&gt;=50,"Needs Improvement",
TRUE,"Critical"
)</f>
        <v>Needs Improvement</v>
      </c>
      <c r="O21" s="10">
        <f>_xlfn.RANK.EQ(M21,$M:$M,0)</f>
        <v>90</v>
      </c>
      <c r="P21">
        <f>Table2[[#This Row],[Total Sales]]/Table2[[#This Row],[Target]]*100</f>
        <v>50.6</v>
      </c>
    </row>
    <row r="22" spans="1:18" x14ac:dyDescent="0.3">
      <c r="A22" s="9" t="s">
        <v>60</v>
      </c>
      <c r="B22" s="1" t="s">
        <v>61</v>
      </c>
      <c r="C22" s="1" t="s">
        <v>26</v>
      </c>
      <c r="D22" s="2">
        <v>68</v>
      </c>
      <c r="E22" s="2">
        <v>73</v>
      </c>
      <c r="F22" s="2">
        <v>97</v>
      </c>
      <c r="G22" s="2">
        <v>76</v>
      </c>
      <c r="H22" s="2">
        <v>53</v>
      </c>
      <c r="I22" s="3">
        <v>367</v>
      </c>
      <c r="J22" s="3">
        <v>500</v>
      </c>
      <c r="K22" s="4">
        <f>I22/J22</f>
        <v>0.73399999999999999</v>
      </c>
      <c r="L22" s="6">
        <f>100%-K22</f>
        <v>0.26600000000000001</v>
      </c>
      <c r="M22" s="7">
        <f>K22*100</f>
        <v>73.400000000000006</v>
      </c>
      <c r="N22" s="7" t="str" cm="1">
        <f t="array" ref="N22">_xlfn.IFS(
M22&gt;=80,"Outstanding",
M22&gt;=65,"Good",
M22&gt;=50,"Needs Improvement",
TRUE,"Critical"
)</f>
        <v>Good</v>
      </c>
      <c r="O22" s="10">
        <f>_xlfn.RANK.EQ(M22,$M:$M,0)</f>
        <v>10</v>
      </c>
      <c r="P22">
        <f>Table2[[#This Row],[Total Sales]]/Table2[[#This Row],[Target]]*100</f>
        <v>73.400000000000006</v>
      </c>
    </row>
    <row r="23" spans="1:18" x14ac:dyDescent="0.3">
      <c r="A23" s="9" t="s">
        <v>62</v>
      </c>
      <c r="B23" s="1" t="s">
        <v>63</v>
      </c>
      <c r="C23" s="1" t="s">
        <v>29</v>
      </c>
      <c r="D23" s="2">
        <v>99</v>
      </c>
      <c r="E23" s="2">
        <v>17</v>
      </c>
      <c r="F23" s="2">
        <v>48</v>
      </c>
      <c r="G23" s="2">
        <v>44</v>
      </c>
      <c r="H23" s="2">
        <v>93</v>
      </c>
      <c r="I23" s="3">
        <v>301</v>
      </c>
      <c r="J23" s="3">
        <v>500</v>
      </c>
      <c r="K23" s="4">
        <f>I23/J23</f>
        <v>0.60199999999999998</v>
      </c>
      <c r="L23" s="6">
        <f>100%-K23</f>
        <v>0.39800000000000002</v>
      </c>
      <c r="M23" s="7">
        <f>K23*100</f>
        <v>60.199999999999996</v>
      </c>
      <c r="N23" s="7" t="str" cm="1">
        <f t="array" ref="N23">_xlfn.IFS(
M23&gt;=80,"Outstanding",
M23&gt;=65,"Good",
M23&gt;=50,"Needs Improvement",
TRUE,"Critical"
)</f>
        <v>Needs Improvement</v>
      </c>
      <c r="O23" s="10">
        <f>_xlfn.RANK.EQ(M23,$M:$M,0)</f>
        <v>51</v>
      </c>
      <c r="P23">
        <f>Table2[[#This Row],[Total Sales]]/Table2[[#This Row],[Target]]*100</f>
        <v>60.199999999999996</v>
      </c>
    </row>
    <row r="24" spans="1:18" x14ac:dyDescent="0.3">
      <c r="A24" s="9" t="s">
        <v>64</v>
      </c>
      <c r="B24" s="1" t="s">
        <v>65</v>
      </c>
      <c r="C24" s="1" t="s">
        <v>32</v>
      </c>
      <c r="D24" s="2">
        <v>57</v>
      </c>
      <c r="E24" s="2">
        <v>28</v>
      </c>
      <c r="F24" s="2">
        <v>31</v>
      </c>
      <c r="G24" s="2">
        <v>34</v>
      </c>
      <c r="H24" s="2">
        <v>52</v>
      </c>
      <c r="I24" s="3">
        <v>202</v>
      </c>
      <c r="J24" s="3">
        <v>500</v>
      </c>
      <c r="K24" s="4">
        <f>I24/J24</f>
        <v>0.40400000000000003</v>
      </c>
      <c r="L24" s="6">
        <f>100%-K24</f>
        <v>0.59599999999999997</v>
      </c>
      <c r="M24" s="7">
        <f>K24*100</f>
        <v>40.400000000000006</v>
      </c>
      <c r="N24" s="7" t="str" cm="1">
        <f t="array" ref="N24">_xlfn.IFS(
M24&gt;=80,"Outstanding",
M24&gt;=65,"Good",
M24&gt;=50,"Needs Improvement",
TRUE,"Critical"
)</f>
        <v>Critical</v>
      </c>
      <c r="O24" s="10">
        <f>_xlfn.RANK.EQ(M24,$M:$M,0)</f>
        <v>128</v>
      </c>
      <c r="P24">
        <f>Table2[[#This Row],[Total Sales]]/Table2[[#This Row],[Target]]*100</f>
        <v>40.400000000000006</v>
      </c>
    </row>
    <row r="25" spans="1:18" x14ac:dyDescent="0.3">
      <c r="A25" s="9" t="s">
        <v>66</v>
      </c>
      <c r="B25" s="1" t="s">
        <v>67</v>
      </c>
      <c r="C25" s="1" t="s">
        <v>35</v>
      </c>
      <c r="D25" s="2">
        <v>40</v>
      </c>
      <c r="E25" s="2">
        <v>22</v>
      </c>
      <c r="F25" s="2">
        <v>18</v>
      </c>
      <c r="G25" s="2">
        <v>11</v>
      </c>
      <c r="H25" s="2">
        <v>92</v>
      </c>
      <c r="I25" s="3">
        <v>183</v>
      </c>
      <c r="J25" s="3">
        <v>500</v>
      </c>
      <c r="K25" s="4">
        <f>I25/J25</f>
        <v>0.36599999999999999</v>
      </c>
      <c r="L25" s="6">
        <f>100%-K25</f>
        <v>0.63400000000000001</v>
      </c>
      <c r="M25" s="7">
        <f>K25*100</f>
        <v>36.6</v>
      </c>
      <c r="N25" s="7" t="str" cm="1">
        <f t="array" ref="N25">_xlfn.IFS(
M25&gt;=80,"Outstanding",
M25&gt;=65,"Good",
M25&gt;=50,"Needs Improvement",
TRUE,"Critical"
)</f>
        <v>Critical</v>
      </c>
      <c r="O25" s="10">
        <f>_xlfn.RANK.EQ(M25,$M:$M,0)</f>
        <v>134</v>
      </c>
      <c r="P25">
        <f>Table2[[#This Row],[Total Sales]]/Table2[[#This Row],[Target]]*100</f>
        <v>36.6</v>
      </c>
    </row>
    <row r="26" spans="1:18" x14ac:dyDescent="0.3">
      <c r="A26" s="9" t="s">
        <v>68</v>
      </c>
      <c r="B26" s="1" t="s">
        <v>69</v>
      </c>
      <c r="C26" s="1" t="s">
        <v>14</v>
      </c>
      <c r="D26" s="2">
        <v>47</v>
      </c>
      <c r="E26" s="2">
        <v>99</v>
      </c>
      <c r="F26" s="2">
        <v>94</v>
      </c>
      <c r="G26" s="2">
        <v>75</v>
      </c>
      <c r="H26" s="2">
        <v>29</v>
      </c>
      <c r="I26" s="3">
        <v>344</v>
      </c>
      <c r="J26" s="3">
        <v>500</v>
      </c>
      <c r="K26" s="4">
        <f>I26/J26</f>
        <v>0.68799999999999994</v>
      </c>
      <c r="L26" s="6">
        <f>100%-K26</f>
        <v>0.31200000000000006</v>
      </c>
      <c r="M26" s="7">
        <f>K26*100</f>
        <v>68.8</v>
      </c>
      <c r="N26" s="7" t="str" cm="1">
        <f t="array" ref="N26">_xlfn.IFS(
M26&gt;=80,"Outstanding",
M26&gt;=65,"Good",
M26&gt;=50,"Needs Improvement",
TRUE,"Critical"
)</f>
        <v>Good</v>
      </c>
      <c r="O26" s="10">
        <f>_xlfn.RANK.EQ(M26,$M:$M,0)</f>
        <v>20</v>
      </c>
      <c r="P26">
        <f>Table2[[#This Row],[Total Sales]]/Table2[[#This Row],[Target]]*100</f>
        <v>68.8</v>
      </c>
    </row>
    <row r="27" spans="1:18" x14ac:dyDescent="0.3">
      <c r="A27" s="9" t="s">
        <v>70</v>
      </c>
      <c r="B27" s="1" t="s">
        <v>71</v>
      </c>
      <c r="C27" s="1" t="s">
        <v>17</v>
      </c>
      <c r="D27" s="2">
        <v>16</v>
      </c>
      <c r="E27" s="2">
        <v>71</v>
      </c>
      <c r="F27" s="2">
        <v>80</v>
      </c>
      <c r="G27" s="2">
        <v>76</v>
      </c>
      <c r="H27" s="2">
        <v>33</v>
      </c>
      <c r="I27" s="3">
        <v>276</v>
      </c>
      <c r="J27" s="3">
        <v>500</v>
      </c>
      <c r="K27" s="4">
        <f>I27/J27</f>
        <v>0.55200000000000005</v>
      </c>
      <c r="L27" s="6">
        <f>100%-K27</f>
        <v>0.44799999999999995</v>
      </c>
      <c r="M27" s="7">
        <f>K27*100</f>
        <v>55.2</v>
      </c>
      <c r="N27" s="7" t="str" cm="1">
        <f t="array" ref="N27">_xlfn.IFS(
M27&gt;=80,"Outstanding",
M27&gt;=65,"Good",
M27&gt;=50,"Needs Improvement",
TRUE,"Critical"
)</f>
        <v>Needs Improvement</v>
      </c>
      <c r="O27" s="10">
        <f>_xlfn.RANK.EQ(M27,$M:$M,0)</f>
        <v>76</v>
      </c>
      <c r="P27">
        <f>Table2[[#This Row],[Total Sales]]/Table2[[#This Row],[Target]]*100</f>
        <v>55.2</v>
      </c>
    </row>
    <row r="28" spans="1:18" x14ac:dyDescent="0.3">
      <c r="A28" s="9" t="s">
        <v>72</v>
      </c>
      <c r="B28" s="1" t="s">
        <v>73</v>
      </c>
      <c r="C28" s="1" t="s">
        <v>20</v>
      </c>
      <c r="D28" s="2">
        <v>72</v>
      </c>
      <c r="E28" s="2">
        <v>87</v>
      </c>
      <c r="F28" s="2">
        <v>92</v>
      </c>
      <c r="G28" s="2">
        <v>72</v>
      </c>
      <c r="H28" s="2">
        <v>34</v>
      </c>
      <c r="I28" s="3">
        <v>357</v>
      </c>
      <c r="J28" s="3">
        <v>500</v>
      </c>
      <c r="K28" s="4">
        <f>I28/J28</f>
        <v>0.71399999999999997</v>
      </c>
      <c r="L28" s="6">
        <f>100%-K28</f>
        <v>0.28600000000000003</v>
      </c>
      <c r="M28" s="7">
        <f>K28*100</f>
        <v>71.399999999999991</v>
      </c>
      <c r="N28" s="7" t="str" cm="1">
        <f t="array" ref="N28">_xlfn.IFS(
M28&gt;=80,"Outstanding",
M28&gt;=65,"Good",
M28&gt;=50,"Needs Improvement",
TRUE,"Critical"
)</f>
        <v>Good</v>
      </c>
      <c r="O28" s="10">
        <f>_xlfn.RANK.EQ(M28,$M:$M,0)</f>
        <v>11</v>
      </c>
      <c r="P28">
        <f>Table2[[#This Row],[Total Sales]]/Table2[[#This Row],[Target]]*100</f>
        <v>71.399999999999991</v>
      </c>
    </row>
    <row r="29" spans="1:18" x14ac:dyDescent="0.3">
      <c r="A29" s="9" t="s">
        <v>74</v>
      </c>
      <c r="B29" s="1" t="s">
        <v>75</v>
      </c>
      <c r="C29" s="1" t="s">
        <v>23</v>
      </c>
      <c r="D29" s="2">
        <v>30</v>
      </c>
      <c r="E29" s="2">
        <v>38</v>
      </c>
      <c r="F29" s="2">
        <v>70</v>
      </c>
      <c r="G29" s="2">
        <v>89</v>
      </c>
      <c r="H29" s="2">
        <v>97</v>
      </c>
      <c r="I29" s="3">
        <v>324</v>
      </c>
      <c r="J29" s="3">
        <v>500</v>
      </c>
      <c r="K29" s="4">
        <f>I29/J29</f>
        <v>0.64800000000000002</v>
      </c>
      <c r="L29" s="6">
        <f>100%-K29</f>
        <v>0.35199999999999998</v>
      </c>
      <c r="M29" s="7">
        <f>K29*100</f>
        <v>64.8</v>
      </c>
      <c r="N29" s="7" t="str" cm="1">
        <f t="array" ref="N29">_xlfn.IFS(
M29&gt;=80,"Outstanding",
M29&gt;=65,"Good",
M29&gt;=50,"Needs Improvement",
TRUE,"Critical"
)</f>
        <v>Needs Improvement</v>
      </c>
      <c r="O29" s="10">
        <f>_xlfn.RANK.EQ(M29,$M:$M,0)</f>
        <v>30</v>
      </c>
      <c r="P29">
        <f>Table2[[#This Row],[Total Sales]]/Table2[[#This Row],[Target]]*100</f>
        <v>64.8</v>
      </c>
    </row>
    <row r="30" spans="1:18" x14ac:dyDescent="0.3">
      <c r="A30" s="9" t="s">
        <v>76</v>
      </c>
      <c r="B30" s="1" t="s">
        <v>77</v>
      </c>
      <c r="C30" s="1" t="s">
        <v>26</v>
      </c>
      <c r="D30" s="2">
        <v>65</v>
      </c>
      <c r="E30" s="2">
        <v>90</v>
      </c>
      <c r="F30" s="2">
        <v>91</v>
      </c>
      <c r="G30" s="2">
        <v>85</v>
      </c>
      <c r="H30" s="2">
        <v>10</v>
      </c>
      <c r="I30" s="3">
        <v>341</v>
      </c>
      <c r="J30" s="3">
        <v>500</v>
      </c>
      <c r="K30" s="4">
        <f>I30/J30</f>
        <v>0.68200000000000005</v>
      </c>
      <c r="L30" s="6">
        <f>100%-K30</f>
        <v>0.31799999999999995</v>
      </c>
      <c r="M30" s="7">
        <f>K30*100</f>
        <v>68.2</v>
      </c>
      <c r="N30" s="7" t="str" cm="1">
        <f t="array" ref="N30">_xlfn.IFS(
M30&gt;=80,"Outstanding",
M30&gt;=65,"Good",
M30&gt;=50,"Needs Improvement",
TRUE,"Critical"
)</f>
        <v>Good</v>
      </c>
      <c r="O30" s="10">
        <f>_xlfn.RANK.EQ(M30,$M:$M,0)</f>
        <v>22</v>
      </c>
      <c r="P30">
        <f>Table2[[#This Row],[Total Sales]]/Table2[[#This Row],[Target]]*100</f>
        <v>68.2</v>
      </c>
    </row>
    <row r="31" spans="1:18" x14ac:dyDescent="0.3">
      <c r="A31" s="9" t="s">
        <v>78</v>
      </c>
      <c r="B31" s="1" t="s">
        <v>79</v>
      </c>
      <c r="C31" s="1" t="s">
        <v>29</v>
      </c>
      <c r="D31" s="2">
        <v>83</v>
      </c>
      <c r="E31" s="2">
        <v>46</v>
      </c>
      <c r="F31" s="2">
        <v>99</v>
      </c>
      <c r="G31" s="2">
        <v>36</v>
      </c>
      <c r="H31" s="2">
        <v>89</v>
      </c>
      <c r="I31" s="3">
        <v>353</v>
      </c>
      <c r="J31" s="3">
        <v>500</v>
      </c>
      <c r="K31" s="4">
        <f>I31/J31</f>
        <v>0.70599999999999996</v>
      </c>
      <c r="L31" s="6">
        <f>100%-K31</f>
        <v>0.29400000000000004</v>
      </c>
      <c r="M31" s="7">
        <f>K31*100</f>
        <v>70.599999999999994</v>
      </c>
      <c r="N31" s="7" t="str" cm="1">
        <f t="array" ref="N31">_xlfn.IFS(
M31&gt;=80,"Outstanding",
M31&gt;=65,"Good",
M31&gt;=50,"Needs Improvement",
TRUE,"Critical"
)</f>
        <v>Good</v>
      </c>
      <c r="O31" s="10">
        <f>_xlfn.RANK.EQ(M31,$M:$M,0)</f>
        <v>14</v>
      </c>
      <c r="P31">
        <f>Table2[[#This Row],[Total Sales]]/Table2[[#This Row],[Target]]*100</f>
        <v>70.599999999999994</v>
      </c>
    </row>
    <row r="32" spans="1:18" x14ac:dyDescent="0.3">
      <c r="A32" s="9" t="s">
        <v>80</v>
      </c>
      <c r="B32" s="1" t="s">
        <v>81</v>
      </c>
      <c r="C32" s="1" t="s">
        <v>32</v>
      </c>
      <c r="D32" s="2">
        <v>10</v>
      </c>
      <c r="E32" s="2">
        <v>66</v>
      </c>
      <c r="F32" s="2">
        <v>40</v>
      </c>
      <c r="G32" s="2">
        <v>22</v>
      </c>
      <c r="H32" s="2">
        <v>38</v>
      </c>
      <c r="I32" s="3">
        <v>176</v>
      </c>
      <c r="J32" s="3">
        <v>500</v>
      </c>
      <c r="K32" s="4">
        <f>I32/J32</f>
        <v>0.35199999999999998</v>
      </c>
      <c r="L32" s="6">
        <f>100%-K32</f>
        <v>0.64800000000000002</v>
      </c>
      <c r="M32" s="7">
        <f>K32*100</f>
        <v>35.199999999999996</v>
      </c>
      <c r="N32" s="7" t="str" cm="1">
        <f t="array" ref="N32">_xlfn.IFS(
M32&gt;=80,"Outstanding",
M32&gt;=65,"Good",
M32&gt;=50,"Needs Improvement",
TRUE,"Critical"
)</f>
        <v>Critical</v>
      </c>
      <c r="O32" s="10">
        <f>_xlfn.RANK.EQ(M32,$M:$M,0)</f>
        <v>136</v>
      </c>
      <c r="P32">
        <f>Table2[[#This Row],[Total Sales]]/Table2[[#This Row],[Target]]*100</f>
        <v>35.199999999999996</v>
      </c>
    </row>
    <row r="33" spans="1:16" x14ac:dyDescent="0.3">
      <c r="A33" s="9" t="s">
        <v>82</v>
      </c>
      <c r="B33" s="1" t="s">
        <v>83</v>
      </c>
      <c r="C33" s="1" t="s">
        <v>35</v>
      </c>
      <c r="D33" s="2">
        <v>37</v>
      </c>
      <c r="E33" s="2">
        <v>30</v>
      </c>
      <c r="F33" s="2">
        <v>19</v>
      </c>
      <c r="G33" s="2">
        <v>77</v>
      </c>
      <c r="H33" s="2">
        <v>67</v>
      </c>
      <c r="I33" s="3">
        <v>230</v>
      </c>
      <c r="J33" s="3">
        <v>500</v>
      </c>
      <c r="K33" s="4">
        <f>I33/J33</f>
        <v>0.46</v>
      </c>
      <c r="L33" s="6">
        <f>100%-K33</f>
        <v>0.54</v>
      </c>
      <c r="M33" s="7">
        <f>K33*100</f>
        <v>46</v>
      </c>
      <c r="N33" s="7" t="str" cm="1">
        <f t="array" ref="N33">_xlfn.IFS(
M33&gt;=80,"Outstanding",
M33&gt;=65,"Good",
M33&gt;=50,"Needs Improvement",
TRUE,"Critical"
)</f>
        <v>Critical</v>
      </c>
      <c r="O33" s="10">
        <f>_xlfn.RANK.EQ(M33,$M:$M,0)</f>
        <v>105</v>
      </c>
      <c r="P33">
        <f>Table2[[#This Row],[Total Sales]]/Table2[[#This Row],[Target]]*100</f>
        <v>46</v>
      </c>
    </row>
    <row r="34" spans="1:16" x14ac:dyDescent="0.3">
      <c r="A34" s="9" t="s">
        <v>84</v>
      </c>
      <c r="B34" s="1" t="s">
        <v>85</v>
      </c>
      <c r="C34" s="1" t="s">
        <v>14</v>
      </c>
      <c r="D34" s="2">
        <v>83</v>
      </c>
      <c r="E34" s="2">
        <v>46</v>
      </c>
      <c r="F34" s="2">
        <v>17</v>
      </c>
      <c r="G34" s="2">
        <v>94</v>
      </c>
      <c r="H34" s="2">
        <v>92</v>
      </c>
      <c r="I34" s="3">
        <v>332</v>
      </c>
      <c r="J34" s="3">
        <v>500</v>
      </c>
      <c r="K34" s="4">
        <f>I34/J34</f>
        <v>0.66400000000000003</v>
      </c>
      <c r="L34" s="6">
        <f>100%-K34</f>
        <v>0.33599999999999997</v>
      </c>
      <c r="M34" s="7">
        <f>K34*100</f>
        <v>66.400000000000006</v>
      </c>
      <c r="N34" s="7" t="str" cm="1">
        <f t="array" ref="N34">_xlfn.IFS(
M34&gt;=80,"Outstanding",
M34&gt;=65,"Good",
M34&gt;=50,"Needs Improvement",
TRUE,"Critical"
)</f>
        <v>Good</v>
      </c>
      <c r="O34" s="10">
        <f>_xlfn.RANK.EQ(M34,$M:$M,0)</f>
        <v>26</v>
      </c>
      <c r="P34">
        <f>Table2[[#This Row],[Total Sales]]/Table2[[#This Row],[Target]]*100</f>
        <v>66.400000000000006</v>
      </c>
    </row>
    <row r="35" spans="1:16" x14ac:dyDescent="0.3">
      <c r="A35" s="9" t="s">
        <v>86</v>
      </c>
      <c r="B35" s="1" t="s">
        <v>87</v>
      </c>
      <c r="C35" s="1" t="s">
        <v>17</v>
      </c>
      <c r="D35" s="2">
        <v>84</v>
      </c>
      <c r="E35" s="2">
        <v>59</v>
      </c>
      <c r="F35" s="2">
        <v>41</v>
      </c>
      <c r="G35" s="2">
        <v>17</v>
      </c>
      <c r="H35" s="2">
        <v>22</v>
      </c>
      <c r="I35" s="3">
        <v>223</v>
      </c>
      <c r="J35" s="3">
        <v>500</v>
      </c>
      <c r="K35" s="4">
        <f>I35/J35</f>
        <v>0.44600000000000001</v>
      </c>
      <c r="L35" s="6">
        <f>100%-K35</f>
        <v>0.55400000000000005</v>
      </c>
      <c r="M35" s="7">
        <f>K35*100</f>
        <v>44.6</v>
      </c>
      <c r="N35" s="7" t="str" cm="1">
        <f t="array" ref="N35">_xlfn.IFS(
M35&gt;=80,"Outstanding",
M35&gt;=65,"Good",
M35&gt;=50,"Needs Improvement",
TRUE,"Critical"
)</f>
        <v>Critical</v>
      </c>
      <c r="O35" s="10">
        <f>_xlfn.RANK.EQ(M35,$M:$M,0)</f>
        <v>110</v>
      </c>
      <c r="P35">
        <f>Table2[[#This Row],[Total Sales]]/Table2[[#This Row],[Target]]*100</f>
        <v>44.6</v>
      </c>
    </row>
    <row r="36" spans="1:16" x14ac:dyDescent="0.3">
      <c r="A36" s="9" t="s">
        <v>88</v>
      </c>
      <c r="B36" s="1" t="s">
        <v>89</v>
      </c>
      <c r="C36" s="1" t="s">
        <v>20</v>
      </c>
      <c r="D36" s="2">
        <v>82</v>
      </c>
      <c r="E36" s="2">
        <v>54</v>
      </c>
      <c r="F36" s="2">
        <v>79</v>
      </c>
      <c r="G36" s="2">
        <v>61</v>
      </c>
      <c r="H36" s="2">
        <v>47</v>
      </c>
      <c r="I36" s="3">
        <v>323</v>
      </c>
      <c r="J36" s="3">
        <v>500</v>
      </c>
      <c r="K36" s="4">
        <f>I36/J36</f>
        <v>0.64600000000000002</v>
      </c>
      <c r="L36" s="6">
        <f>100%-K36</f>
        <v>0.35399999999999998</v>
      </c>
      <c r="M36" s="7">
        <f>K36*100</f>
        <v>64.600000000000009</v>
      </c>
      <c r="N36" s="7" t="str" cm="1">
        <f t="array" ref="N36">_xlfn.IFS(
M36&gt;=80,"Outstanding",
M36&gt;=65,"Good",
M36&gt;=50,"Needs Improvement",
TRUE,"Critical"
)</f>
        <v>Needs Improvement</v>
      </c>
      <c r="O36" s="10">
        <f>_xlfn.RANK.EQ(M36,$M:$M,0)</f>
        <v>31</v>
      </c>
      <c r="P36">
        <f>Table2[[#This Row],[Total Sales]]/Table2[[#This Row],[Target]]*100</f>
        <v>64.600000000000009</v>
      </c>
    </row>
    <row r="37" spans="1:16" x14ac:dyDescent="0.3">
      <c r="A37" s="9" t="s">
        <v>90</v>
      </c>
      <c r="B37" s="1" t="s">
        <v>91</v>
      </c>
      <c r="C37" s="1" t="s">
        <v>23</v>
      </c>
      <c r="D37" s="2">
        <v>47</v>
      </c>
      <c r="E37" s="2">
        <v>23</v>
      </c>
      <c r="F37" s="2">
        <v>19</v>
      </c>
      <c r="G37" s="2">
        <v>64</v>
      </c>
      <c r="H37" s="2">
        <v>61</v>
      </c>
      <c r="I37" s="3">
        <v>214</v>
      </c>
      <c r="J37" s="3">
        <v>500</v>
      </c>
      <c r="K37" s="4">
        <f>I37/J37</f>
        <v>0.42799999999999999</v>
      </c>
      <c r="L37" s="6">
        <f>100%-K37</f>
        <v>0.57200000000000006</v>
      </c>
      <c r="M37" s="7">
        <f>K37*100</f>
        <v>42.8</v>
      </c>
      <c r="N37" s="7" t="str" cm="1">
        <f t="array" ref="N37">_xlfn.IFS(
M37&gt;=80,"Outstanding",
M37&gt;=65,"Good",
M37&gt;=50,"Needs Improvement",
TRUE,"Critical"
)</f>
        <v>Critical</v>
      </c>
      <c r="O37" s="10">
        <f>_xlfn.RANK.EQ(M37,$M:$M,0)</f>
        <v>116</v>
      </c>
      <c r="P37">
        <f>Table2[[#This Row],[Total Sales]]/Table2[[#This Row],[Target]]*100</f>
        <v>42.8</v>
      </c>
    </row>
    <row r="38" spans="1:16" x14ac:dyDescent="0.3">
      <c r="A38" s="9" t="s">
        <v>92</v>
      </c>
      <c r="B38" s="1" t="s">
        <v>93</v>
      </c>
      <c r="C38" s="1" t="s">
        <v>26</v>
      </c>
      <c r="D38" s="2">
        <v>91</v>
      </c>
      <c r="E38" s="2">
        <v>13</v>
      </c>
      <c r="F38" s="2">
        <v>79</v>
      </c>
      <c r="G38" s="2">
        <v>85</v>
      </c>
      <c r="H38" s="2">
        <v>67</v>
      </c>
      <c r="I38" s="3">
        <v>335</v>
      </c>
      <c r="J38" s="3">
        <v>500</v>
      </c>
      <c r="K38" s="4">
        <f>I38/J38</f>
        <v>0.67</v>
      </c>
      <c r="L38" s="6">
        <f>100%-K38</f>
        <v>0.32999999999999996</v>
      </c>
      <c r="M38" s="7">
        <f>K38*100</f>
        <v>67</v>
      </c>
      <c r="N38" s="7" t="str" cm="1">
        <f t="array" ref="N38">_xlfn.IFS(
M38&gt;=80,"Outstanding",
M38&gt;=65,"Good",
M38&gt;=50,"Needs Improvement",
TRUE,"Critical"
)</f>
        <v>Good</v>
      </c>
      <c r="O38" s="10">
        <f>_xlfn.RANK.EQ(M38,$M:$M,0)</f>
        <v>25</v>
      </c>
      <c r="P38">
        <f>Table2[[#This Row],[Total Sales]]/Table2[[#This Row],[Target]]*100</f>
        <v>67</v>
      </c>
    </row>
    <row r="39" spans="1:16" x14ac:dyDescent="0.3">
      <c r="A39" s="9" t="s">
        <v>94</v>
      </c>
      <c r="B39" s="1" t="s">
        <v>95</v>
      </c>
      <c r="C39" s="1" t="s">
        <v>29</v>
      </c>
      <c r="D39" s="2">
        <v>66</v>
      </c>
      <c r="E39" s="2">
        <v>59</v>
      </c>
      <c r="F39" s="2">
        <v>25</v>
      </c>
      <c r="G39" s="2">
        <v>55</v>
      </c>
      <c r="H39" s="2">
        <v>59</v>
      </c>
      <c r="I39" s="3">
        <v>264</v>
      </c>
      <c r="J39" s="3">
        <v>500</v>
      </c>
      <c r="K39" s="4">
        <f>I39/J39</f>
        <v>0.52800000000000002</v>
      </c>
      <c r="L39" s="6">
        <f>100%-K39</f>
        <v>0.47199999999999998</v>
      </c>
      <c r="M39" s="7">
        <f>K39*100</f>
        <v>52.800000000000004</v>
      </c>
      <c r="N39" s="7" t="str" cm="1">
        <f t="array" ref="N39">_xlfn.IFS(
M39&gt;=80,"Outstanding",
M39&gt;=65,"Good",
M39&gt;=50,"Needs Improvement",
TRUE,"Critical"
)</f>
        <v>Needs Improvement</v>
      </c>
      <c r="O39" s="10">
        <f>_xlfn.RANK.EQ(M39,$M:$M,0)</f>
        <v>84</v>
      </c>
      <c r="P39">
        <f>Table2[[#This Row],[Total Sales]]/Table2[[#This Row],[Target]]*100</f>
        <v>52.800000000000004</v>
      </c>
    </row>
    <row r="40" spans="1:16" x14ac:dyDescent="0.3">
      <c r="A40" s="9" t="s">
        <v>96</v>
      </c>
      <c r="B40" s="1" t="s">
        <v>97</v>
      </c>
      <c r="C40" s="1" t="s">
        <v>32</v>
      </c>
      <c r="D40" s="2">
        <v>70</v>
      </c>
      <c r="E40" s="2">
        <v>18</v>
      </c>
      <c r="F40" s="2">
        <v>88</v>
      </c>
      <c r="G40" s="2">
        <v>46</v>
      </c>
      <c r="H40" s="2">
        <v>52</v>
      </c>
      <c r="I40" s="3">
        <v>274</v>
      </c>
      <c r="J40" s="3">
        <v>500</v>
      </c>
      <c r="K40" s="4">
        <f>I40/J40</f>
        <v>0.54800000000000004</v>
      </c>
      <c r="L40" s="6">
        <f>100%-K40</f>
        <v>0.45199999999999996</v>
      </c>
      <c r="M40" s="7">
        <f>K40*100</f>
        <v>54.800000000000004</v>
      </c>
      <c r="N40" s="7" t="str" cm="1">
        <f t="array" ref="N40">_xlfn.IFS(
M40&gt;=80,"Outstanding",
M40&gt;=65,"Good",
M40&gt;=50,"Needs Improvement",
TRUE,"Critical"
)</f>
        <v>Needs Improvement</v>
      </c>
      <c r="O40" s="10">
        <f>_xlfn.RANK.EQ(M40,$M:$M,0)</f>
        <v>77</v>
      </c>
      <c r="P40">
        <f>Table2[[#This Row],[Total Sales]]/Table2[[#This Row],[Target]]*100</f>
        <v>54.800000000000004</v>
      </c>
    </row>
    <row r="41" spans="1:16" x14ac:dyDescent="0.3">
      <c r="A41" s="9" t="s">
        <v>98</v>
      </c>
      <c r="B41" s="1" t="s">
        <v>99</v>
      </c>
      <c r="C41" s="1" t="s">
        <v>35</v>
      </c>
      <c r="D41" s="2">
        <v>37</v>
      </c>
      <c r="E41" s="2">
        <v>60</v>
      </c>
      <c r="F41" s="2">
        <v>44</v>
      </c>
      <c r="G41" s="2">
        <v>61</v>
      </c>
      <c r="H41" s="2">
        <v>30</v>
      </c>
      <c r="I41" s="3">
        <v>232</v>
      </c>
      <c r="J41" s="3">
        <v>500</v>
      </c>
      <c r="K41" s="4">
        <f>I41/J41</f>
        <v>0.46400000000000002</v>
      </c>
      <c r="L41" s="6">
        <f>100%-K41</f>
        <v>0.53600000000000003</v>
      </c>
      <c r="M41" s="7">
        <f>K41*100</f>
        <v>46.400000000000006</v>
      </c>
      <c r="N41" s="7" t="str" cm="1">
        <f t="array" ref="N41">_xlfn.IFS(
M41&gt;=80,"Outstanding",
M41&gt;=65,"Good",
M41&gt;=50,"Needs Improvement",
TRUE,"Critical"
)</f>
        <v>Critical</v>
      </c>
      <c r="O41" s="10">
        <f>_xlfn.RANK.EQ(M41,$M:$M,0)</f>
        <v>103</v>
      </c>
      <c r="P41">
        <f>Table2[[#This Row],[Total Sales]]/Table2[[#This Row],[Target]]*100</f>
        <v>46.400000000000006</v>
      </c>
    </row>
    <row r="42" spans="1:16" x14ac:dyDescent="0.3">
      <c r="A42" s="9" t="s">
        <v>100</v>
      </c>
      <c r="B42" s="1" t="s">
        <v>101</v>
      </c>
      <c r="C42" s="1" t="s">
        <v>14</v>
      </c>
      <c r="D42" s="2">
        <v>16</v>
      </c>
      <c r="E42" s="2">
        <v>46</v>
      </c>
      <c r="F42" s="2">
        <v>33</v>
      </c>
      <c r="G42" s="2">
        <v>54</v>
      </c>
      <c r="H42" s="2">
        <v>58</v>
      </c>
      <c r="I42" s="3">
        <v>207</v>
      </c>
      <c r="J42" s="3">
        <v>500</v>
      </c>
      <c r="K42" s="4">
        <f>I42/J42</f>
        <v>0.41399999999999998</v>
      </c>
      <c r="L42" s="6">
        <f>100%-K42</f>
        <v>0.58600000000000008</v>
      </c>
      <c r="M42" s="7">
        <f>K42*100</f>
        <v>41.4</v>
      </c>
      <c r="N42" s="7" t="str" cm="1">
        <f t="array" ref="N42">_xlfn.IFS(
M42&gt;=80,"Outstanding",
M42&gt;=65,"Good",
M42&gt;=50,"Needs Improvement",
TRUE,"Critical"
)</f>
        <v>Critical</v>
      </c>
      <c r="O42" s="10">
        <f>_xlfn.RANK.EQ(M42,$M:$M,0)</f>
        <v>125</v>
      </c>
      <c r="P42">
        <f>Table2[[#This Row],[Total Sales]]/Table2[[#This Row],[Target]]*100</f>
        <v>41.4</v>
      </c>
    </row>
    <row r="43" spans="1:16" x14ac:dyDescent="0.3">
      <c r="A43" s="9" t="s">
        <v>102</v>
      </c>
      <c r="B43" s="1" t="s">
        <v>103</v>
      </c>
      <c r="C43" s="1" t="s">
        <v>17</v>
      </c>
      <c r="D43" s="2">
        <v>47</v>
      </c>
      <c r="E43" s="2">
        <v>97</v>
      </c>
      <c r="F43" s="2">
        <v>74</v>
      </c>
      <c r="G43" s="2">
        <v>97</v>
      </c>
      <c r="H43" s="2">
        <v>56</v>
      </c>
      <c r="I43" s="3">
        <v>371</v>
      </c>
      <c r="J43" s="3">
        <v>500</v>
      </c>
      <c r="K43" s="4">
        <f>I43/J43</f>
        <v>0.74199999999999999</v>
      </c>
      <c r="L43" s="6">
        <f>100%-K43</f>
        <v>0.25800000000000001</v>
      </c>
      <c r="M43" s="7">
        <f>K43*100</f>
        <v>74.2</v>
      </c>
      <c r="N43" s="7" t="str" cm="1">
        <f t="array" ref="N43">_xlfn.IFS(
M43&gt;=80,"Outstanding",
M43&gt;=65,"Good",
M43&gt;=50,"Needs Improvement",
TRUE,"Critical"
)</f>
        <v>Good</v>
      </c>
      <c r="O43" s="10">
        <f>_xlfn.RANK.EQ(M43,$M:$M,0)</f>
        <v>8</v>
      </c>
      <c r="P43">
        <f>Table2[[#This Row],[Total Sales]]/Table2[[#This Row],[Target]]*100</f>
        <v>74.2</v>
      </c>
    </row>
    <row r="44" spans="1:16" x14ac:dyDescent="0.3">
      <c r="A44" s="9" t="s">
        <v>104</v>
      </c>
      <c r="B44" s="1" t="s">
        <v>105</v>
      </c>
      <c r="C44" s="1" t="s">
        <v>20</v>
      </c>
      <c r="D44" s="2">
        <v>86</v>
      </c>
      <c r="E44" s="2">
        <v>22</v>
      </c>
      <c r="F44" s="2">
        <v>10</v>
      </c>
      <c r="G44" s="2">
        <v>60</v>
      </c>
      <c r="H44" s="2">
        <v>28</v>
      </c>
      <c r="I44" s="3">
        <v>206</v>
      </c>
      <c r="J44" s="3">
        <v>500</v>
      </c>
      <c r="K44" s="4">
        <f>I44/J44</f>
        <v>0.41199999999999998</v>
      </c>
      <c r="L44" s="6">
        <f>100%-K44</f>
        <v>0.58800000000000008</v>
      </c>
      <c r="M44" s="7">
        <f>K44*100</f>
        <v>41.199999999999996</v>
      </c>
      <c r="N44" s="7" t="str" cm="1">
        <f t="array" ref="N44">_xlfn.IFS(
M44&gt;=80,"Outstanding",
M44&gt;=65,"Good",
M44&gt;=50,"Needs Improvement",
TRUE,"Critical"
)</f>
        <v>Critical</v>
      </c>
      <c r="O44" s="10">
        <f>_xlfn.RANK.EQ(M44,$M:$M,0)</f>
        <v>126</v>
      </c>
      <c r="P44">
        <f>Table2[[#This Row],[Total Sales]]/Table2[[#This Row],[Target]]*100</f>
        <v>41.199999999999996</v>
      </c>
    </row>
    <row r="45" spans="1:16" x14ac:dyDescent="0.3">
      <c r="A45" s="9" t="s">
        <v>106</v>
      </c>
      <c r="B45" s="1" t="s">
        <v>107</v>
      </c>
      <c r="C45" s="1" t="s">
        <v>23</v>
      </c>
      <c r="D45" s="2">
        <v>74</v>
      </c>
      <c r="E45" s="2">
        <v>17</v>
      </c>
      <c r="F45" s="2">
        <v>45</v>
      </c>
      <c r="G45" s="2">
        <v>64</v>
      </c>
      <c r="H45" s="2">
        <v>13</v>
      </c>
      <c r="I45" s="3">
        <v>213</v>
      </c>
      <c r="J45" s="3">
        <v>500</v>
      </c>
      <c r="K45" s="4">
        <f>I45/J45</f>
        <v>0.42599999999999999</v>
      </c>
      <c r="L45" s="6">
        <f>100%-K45</f>
        <v>0.57400000000000007</v>
      </c>
      <c r="M45" s="7">
        <f>K45*100</f>
        <v>42.6</v>
      </c>
      <c r="N45" s="7" t="str" cm="1">
        <f t="array" ref="N45">_xlfn.IFS(
M45&gt;=80,"Outstanding",
M45&gt;=65,"Good",
M45&gt;=50,"Needs Improvement",
TRUE,"Critical"
)</f>
        <v>Critical</v>
      </c>
      <c r="O45" s="10">
        <f>_xlfn.RANK.EQ(M45,$M:$M,0)</f>
        <v>118</v>
      </c>
      <c r="P45">
        <f>Table2[[#This Row],[Total Sales]]/Table2[[#This Row],[Target]]*100</f>
        <v>42.6</v>
      </c>
    </row>
    <row r="46" spans="1:16" x14ac:dyDescent="0.3">
      <c r="A46" s="9" t="s">
        <v>108</v>
      </c>
      <c r="B46" s="1" t="s">
        <v>109</v>
      </c>
      <c r="C46" s="1" t="s">
        <v>26</v>
      </c>
      <c r="D46" s="2">
        <v>80</v>
      </c>
      <c r="E46" s="2">
        <v>51</v>
      </c>
      <c r="F46" s="2">
        <v>15</v>
      </c>
      <c r="G46" s="2">
        <v>97</v>
      </c>
      <c r="H46" s="2">
        <v>42</v>
      </c>
      <c r="I46" s="3">
        <v>285</v>
      </c>
      <c r="J46" s="3">
        <v>500</v>
      </c>
      <c r="K46" s="4">
        <f>I46/J46</f>
        <v>0.56999999999999995</v>
      </c>
      <c r="L46" s="6">
        <f>100%-K46</f>
        <v>0.43000000000000005</v>
      </c>
      <c r="M46" s="7">
        <f>K46*100</f>
        <v>56.999999999999993</v>
      </c>
      <c r="N46" s="7" t="str" cm="1">
        <f t="array" ref="N46">_xlfn.IFS(
M46&gt;=80,"Outstanding",
M46&gt;=65,"Good",
M46&gt;=50,"Needs Improvement",
TRUE,"Critical"
)</f>
        <v>Needs Improvement</v>
      </c>
      <c r="O46" s="10">
        <f>_xlfn.RANK.EQ(M46,$M:$M,0)</f>
        <v>67</v>
      </c>
      <c r="P46">
        <f>Table2[[#This Row],[Total Sales]]/Table2[[#This Row],[Target]]*100</f>
        <v>56.999999999999993</v>
      </c>
    </row>
    <row r="47" spans="1:16" x14ac:dyDescent="0.3">
      <c r="A47" s="9" t="s">
        <v>110</v>
      </c>
      <c r="B47" s="1" t="s">
        <v>111</v>
      </c>
      <c r="C47" s="1" t="s">
        <v>29</v>
      </c>
      <c r="D47" s="2">
        <v>49</v>
      </c>
      <c r="E47" s="2">
        <v>82</v>
      </c>
      <c r="F47" s="2">
        <v>95</v>
      </c>
      <c r="G47" s="2">
        <v>46</v>
      </c>
      <c r="H47" s="2">
        <v>78</v>
      </c>
      <c r="I47" s="3">
        <v>350</v>
      </c>
      <c r="J47" s="3">
        <v>500</v>
      </c>
      <c r="K47" s="4">
        <f>I47/J47</f>
        <v>0.7</v>
      </c>
      <c r="L47" s="6">
        <f>100%-K47</f>
        <v>0.30000000000000004</v>
      </c>
      <c r="M47" s="7">
        <f>K47*100</f>
        <v>70</v>
      </c>
      <c r="N47" s="7" t="str" cm="1">
        <f t="array" ref="N47">_xlfn.IFS(
M47&gt;=80,"Outstanding",
M47&gt;=65,"Good",
M47&gt;=50,"Needs Improvement",
TRUE,"Critical"
)</f>
        <v>Good</v>
      </c>
      <c r="O47" s="10">
        <f>_xlfn.RANK.EQ(M47,$M:$M,0)</f>
        <v>17</v>
      </c>
      <c r="P47">
        <f>Table2[[#This Row],[Total Sales]]/Table2[[#This Row],[Target]]*100</f>
        <v>70</v>
      </c>
    </row>
    <row r="48" spans="1:16" x14ac:dyDescent="0.3">
      <c r="A48" s="9" t="s">
        <v>112</v>
      </c>
      <c r="B48" s="1" t="s">
        <v>113</v>
      </c>
      <c r="C48" s="1" t="s">
        <v>32</v>
      </c>
      <c r="D48" s="2">
        <v>17</v>
      </c>
      <c r="E48" s="2">
        <v>88</v>
      </c>
      <c r="F48" s="2">
        <v>12</v>
      </c>
      <c r="G48" s="2">
        <v>54</v>
      </c>
      <c r="H48" s="2">
        <v>21</v>
      </c>
      <c r="I48" s="3">
        <v>192</v>
      </c>
      <c r="J48" s="3">
        <v>500</v>
      </c>
      <c r="K48" s="4">
        <f>I48/J48</f>
        <v>0.38400000000000001</v>
      </c>
      <c r="L48" s="6">
        <f>100%-K48</f>
        <v>0.61599999999999999</v>
      </c>
      <c r="M48" s="7">
        <f>K48*100</f>
        <v>38.4</v>
      </c>
      <c r="N48" s="7" t="str" cm="1">
        <f t="array" ref="N48">_xlfn.IFS(
M48&gt;=80,"Outstanding",
M48&gt;=65,"Good",
M48&gt;=50,"Needs Improvement",
TRUE,"Critical"
)</f>
        <v>Critical</v>
      </c>
      <c r="O48" s="10">
        <f>_xlfn.RANK.EQ(M48,$M:$M,0)</f>
        <v>130</v>
      </c>
      <c r="P48">
        <f>Table2[[#This Row],[Total Sales]]/Table2[[#This Row],[Target]]*100</f>
        <v>38.4</v>
      </c>
    </row>
    <row r="49" spans="1:16" x14ac:dyDescent="0.3">
      <c r="A49" s="9" t="s">
        <v>114</v>
      </c>
      <c r="B49" s="1" t="s">
        <v>115</v>
      </c>
      <c r="C49" s="1" t="s">
        <v>35</v>
      </c>
      <c r="D49" s="2">
        <v>74</v>
      </c>
      <c r="E49" s="2">
        <v>16</v>
      </c>
      <c r="F49" s="2">
        <v>74</v>
      </c>
      <c r="G49" s="2">
        <v>36</v>
      </c>
      <c r="H49" s="2">
        <v>33</v>
      </c>
      <c r="I49" s="3">
        <v>233</v>
      </c>
      <c r="J49" s="3">
        <v>500</v>
      </c>
      <c r="K49" s="4">
        <f>I49/J49</f>
        <v>0.46600000000000003</v>
      </c>
      <c r="L49" s="6">
        <f>100%-K49</f>
        <v>0.53400000000000003</v>
      </c>
      <c r="M49" s="7">
        <f>K49*100</f>
        <v>46.6</v>
      </c>
      <c r="N49" s="7" t="str" cm="1">
        <f t="array" ref="N49">_xlfn.IFS(
M49&gt;=80,"Outstanding",
M49&gt;=65,"Good",
M49&gt;=50,"Needs Improvement",
TRUE,"Critical"
)</f>
        <v>Critical</v>
      </c>
      <c r="O49" s="10">
        <f>_xlfn.RANK.EQ(M49,$M:$M,0)</f>
        <v>102</v>
      </c>
      <c r="P49">
        <f>Table2[[#This Row],[Total Sales]]/Table2[[#This Row],[Target]]*100</f>
        <v>46.6</v>
      </c>
    </row>
    <row r="50" spans="1:16" x14ac:dyDescent="0.3">
      <c r="A50" s="9" t="s">
        <v>116</v>
      </c>
      <c r="B50" s="1" t="s">
        <v>117</v>
      </c>
      <c r="C50" s="1" t="s">
        <v>14</v>
      </c>
      <c r="D50" s="2">
        <v>73</v>
      </c>
      <c r="E50" s="2">
        <v>72</v>
      </c>
      <c r="F50" s="2">
        <v>38</v>
      </c>
      <c r="G50" s="2">
        <v>19</v>
      </c>
      <c r="H50" s="2">
        <v>90</v>
      </c>
      <c r="I50" s="3">
        <v>292</v>
      </c>
      <c r="J50" s="3">
        <v>500</v>
      </c>
      <c r="K50" s="4">
        <f>I50/J50</f>
        <v>0.58399999999999996</v>
      </c>
      <c r="L50" s="6">
        <f>100%-K50</f>
        <v>0.41600000000000004</v>
      </c>
      <c r="M50" s="7">
        <f>K50*100</f>
        <v>58.4</v>
      </c>
      <c r="N50" s="7" t="str" cm="1">
        <f t="array" ref="N50">_xlfn.IFS(
M50&gt;=80,"Outstanding",
M50&gt;=65,"Good",
M50&gt;=50,"Needs Improvement",
TRUE,"Critical"
)</f>
        <v>Needs Improvement</v>
      </c>
      <c r="O50" s="10">
        <f>_xlfn.RANK.EQ(M50,$M:$M,0)</f>
        <v>56</v>
      </c>
      <c r="P50">
        <f>Table2[[#This Row],[Total Sales]]/Table2[[#This Row],[Target]]*100</f>
        <v>58.4</v>
      </c>
    </row>
    <row r="51" spans="1:16" x14ac:dyDescent="0.3">
      <c r="A51" s="9" t="s">
        <v>118</v>
      </c>
      <c r="B51" s="1" t="s">
        <v>119</v>
      </c>
      <c r="C51" s="1" t="s">
        <v>17</v>
      </c>
      <c r="D51" s="2">
        <v>17</v>
      </c>
      <c r="E51" s="2">
        <v>84</v>
      </c>
      <c r="F51" s="2">
        <v>90</v>
      </c>
      <c r="G51" s="2">
        <v>77</v>
      </c>
      <c r="H51" s="2">
        <v>72</v>
      </c>
      <c r="I51" s="3">
        <v>340</v>
      </c>
      <c r="J51" s="3">
        <v>500</v>
      </c>
      <c r="K51" s="4">
        <f>I51/J51</f>
        <v>0.68</v>
      </c>
      <c r="L51" s="6">
        <f>100%-K51</f>
        <v>0.31999999999999995</v>
      </c>
      <c r="M51" s="7">
        <f>K51*100</f>
        <v>68</v>
      </c>
      <c r="N51" s="7" t="str" cm="1">
        <f t="array" ref="N51">_xlfn.IFS(
M51&gt;=80,"Outstanding",
M51&gt;=65,"Good",
M51&gt;=50,"Needs Improvement",
TRUE,"Critical"
)</f>
        <v>Good</v>
      </c>
      <c r="O51" s="10">
        <f>_xlfn.RANK.EQ(M51,$M:$M,0)</f>
        <v>23</v>
      </c>
      <c r="P51">
        <f>Table2[[#This Row],[Total Sales]]/Table2[[#This Row],[Target]]*100</f>
        <v>68</v>
      </c>
    </row>
    <row r="52" spans="1:16" x14ac:dyDescent="0.3">
      <c r="A52" s="9" t="s">
        <v>120</v>
      </c>
      <c r="B52" s="1" t="s">
        <v>121</v>
      </c>
      <c r="C52" s="1" t="s">
        <v>20</v>
      </c>
      <c r="D52" s="2">
        <v>52</v>
      </c>
      <c r="E52" s="2">
        <v>36</v>
      </c>
      <c r="F52" s="2">
        <v>84</v>
      </c>
      <c r="G52" s="2">
        <v>41</v>
      </c>
      <c r="H52" s="2">
        <v>57</v>
      </c>
      <c r="I52" s="3">
        <v>270</v>
      </c>
      <c r="J52" s="3">
        <v>500</v>
      </c>
      <c r="K52" s="4">
        <f>I52/J52</f>
        <v>0.54</v>
      </c>
      <c r="L52" s="6">
        <f>100%-K52</f>
        <v>0.45999999999999996</v>
      </c>
      <c r="M52" s="7">
        <f>K52*100</f>
        <v>54</v>
      </c>
      <c r="N52" s="7" t="str" cm="1">
        <f t="array" ref="N52">_xlfn.IFS(
M52&gt;=80,"Outstanding",
M52&gt;=65,"Good",
M52&gt;=50,"Needs Improvement",
TRUE,"Critical"
)</f>
        <v>Needs Improvement</v>
      </c>
      <c r="O52" s="10">
        <f>_xlfn.RANK.EQ(M52,$M:$M,0)</f>
        <v>80</v>
      </c>
      <c r="P52">
        <f>Table2[[#This Row],[Total Sales]]/Table2[[#This Row],[Target]]*100</f>
        <v>54</v>
      </c>
    </row>
    <row r="53" spans="1:16" x14ac:dyDescent="0.3">
      <c r="A53" s="9" t="s">
        <v>122</v>
      </c>
      <c r="B53" s="1" t="s">
        <v>123</v>
      </c>
      <c r="C53" s="1" t="s">
        <v>23</v>
      </c>
      <c r="D53" s="2">
        <v>65</v>
      </c>
      <c r="E53" s="2">
        <v>67</v>
      </c>
      <c r="F53" s="2">
        <v>72</v>
      </c>
      <c r="G53" s="2">
        <v>22</v>
      </c>
      <c r="H53" s="2">
        <v>23</v>
      </c>
      <c r="I53" s="3">
        <v>249</v>
      </c>
      <c r="J53" s="3">
        <v>500</v>
      </c>
      <c r="K53" s="4">
        <f>I53/J53</f>
        <v>0.498</v>
      </c>
      <c r="L53" s="6">
        <f>100%-K53</f>
        <v>0.502</v>
      </c>
      <c r="M53" s="7">
        <f>K53*100</f>
        <v>49.8</v>
      </c>
      <c r="N53" s="7" t="str" cm="1">
        <f t="array" ref="N53">_xlfn.IFS(
M53&gt;=80,"Outstanding",
M53&gt;=65,"Good",
M53&gt;=50,"Needs Improvement",
TRUE,"Critical"
)</f>
        <v>Critical</v>
      </c>
      <c r="O53" s="10">
        <f>_xlfn.RANK.EQ(M53,$M:$M,0)</f>
        <v>92</v>
      </c>
      <c r="P53">
        <f>Table2[[#This Row],[Total Sales]]/Table2[[#This Row],[Target]]*100</f>
        <v>49.8</v>
      </c>
    </row>
    <row r="54" spans="1:16" x14ac:dyDescent="0.3">
      <c r="A54" s="9" t="s">
        <v>124</v>
      </c>
      <c r="B54" s="1" t="s">
        <v>125</v>
      </c>
      <c r="C54" s="1" t="s">
        <v>26</v>
      </c>
      <c r="D54" s="2">
        <v>88</v>
      </c>
      <c r="E54" s="2">
        <v>39</v>
      </c>
      <c r="F54" s="2">
        <v>25</v>
      </c>
      <c r="G54" s="2">
        <v>99</v>
      </c>
      <c r="H54" s="2">
        <v>71</v>
      </c>
      <c r="I54" s="3">
        <v>322</v>
      </c>
      <c r="J54" s="3">
        <v>500</v>
      </c>
      <c r="K54" s="4">
        <f>I54/J54</f>
        <v>0.64400000000000002</v>
      </c>
      <c r="L54" s="6">
        <f>100%-K54</f>
        <v>0.35599999999999998</v>
      </c>
      <c r="M54" s="7">
        <f>K54*100</f>
        <v>64.400000000000006</v>
      </c>
      <c r="N54" s="7" t="str" cm="1">
        <f t="array" ref="N54">_xlfn.IFS(
M54&gt;=80,"Outstanding",
M54&gt;=65,"Good",
M54&gt;=50,"Needs Improvement",
TRUE,"Critical"
)</f>
        <v>Needs Improvement</v>
      </c>
      <c r="O54" s="10">
        <f>_xlfn.RANK.EQ(M54,$M:$M,0)</f>
        <v>32</v>
      </c>
      <c r="P54">
        <f>Table2[[#This Row],[Total Sales]]/Table2[[#This Row],[Target]]*100</f>
        <v>64.400000000000006</v>
      </c>
    </row>
    <row r="55" spans="1:16" x14ac:dyDescent="0.3">
      <c r="A55" s="9" t="s">
        <v>126</v>
      </c>
      <c r="B55" s="1" t="s">
        <v>127</v>
      </c>
      <c r="C55" s="1" t="s">
        <v>29</v>
      </c>
      <c r="D55" s="2">
        <v>23</v>
      </c>
      <c r="E55" s="2">
        <v>14</v>
      </c>
      <c r="F55" s="2">
        <v>15</v>
      </c>
      <c r="G55" s="2">
        <v>58</v>
      </c>
      <c r="H55" s="2">
        <v>79</v>
      </c>
      <c r="I55" s="3">
        <v>189</v>
      </c>
      <c r="J55" s="3">
        <v>500</v>
      </c>
      <c r="K55" s="4">
        <f>I55/J55</f>
        <v>0.378</v>
      </c>
      <c r="L55" s="6">
        <f>100%-K55</f>
        <v>0.622</v>
      </c>
      <c r="M55" s="7">
        <f>K55*100</f>
        <v>37.799999999999997</v>
      </c>
      <c r="N55" s="7" t="str" cm="1">
        <f t="array" ref="N55">_xlfn.IFS(
M55&gt;=80,"Outstanding",
M55&gt;=65,"Good",
M55&gt;=50,"Needs Improvement",
TRUE,"Critical"
)</f>
        <v>Critical</v>
      </c>
      <c r="O55" s="10">
        <f>_xlfn.RANK.EQ(M55,$M:$M,0)</f>
        <v>132</v>
      </c>
      <c r="P55">
        <f>Table2[[#This Row],[Total Sales]]/Table2[[#This Row],[Target]]*100</f>
        <v>37.799999999999997</v>
      </c>
    </row>
    <row r="56" spans="1:16" x14ac:dyDescent="0.3">
      <c r="A56" s="9" t="s">
        <v>128</v>
      </c>
      <c r="B56" s="1" t="s">
        <v>129</v>
      </c>
      <c r="C56" s="1" t="s">
        <v>32</v>
      </c>
      <c r="D56" s="2">
        <v>15</v>
      </c>
      <c r="E56" s="2">
        <v>67</v>
      </c>
      <c r="F56" s="2">
        <v>48</v>
      </c>
      <c r="G56" s="2">
        <v>95</v>
      </c>
      <c r="H56" s="2">
        <v>35</v>
      </c>
      <c r="I56" s="3">
        <v>260</v>
      </c>
      <c r="J56" s="3">
        <v>500</v>
      </c>
      <c r="K56" s="4">
        <f>I56/J56</f>
        <v>0.52</v>
      </c>
      <c r="L56" s="6">
        <f>100%-K56</f>
        <v>0.48</v>
      </c>
      <c r="M56" s="7">
        <f>K56*100</f>
        <v>52</v>
      </c>
      <c r="N56" s="7" t="str" cm="1">
        <f t="array" ref="N56">_xlfn.IFS(
M56&gt;=80,"Outstanding",
M56&gt;=65,"Good",
M56&gt;=50,"Needs Improvement",
TRUE,"Critical"
)</f>
        <v>Needs Improvement</v>
      </c>
      <c r="O56" s="10">
        <f>_xlfn.RANK.EQ(M56,$M:$M,0)</f>
        <v>87</v>
      </c>
      <c r="P56">
        <f>Table2[[#This Row],[Total Sales]]/Table2[[#This Row],[Target]]*100</f>
        <v>52</v>
      </c>
    </row>
    <row r="57" spans="1:16" x14ac:dyDescent="0.3">
      <c r="A57" s="9" t="s">
        <v>130</v>
      </c>
      <c r="B57" s="1" t="s">
        <v>131</v>
      </c>
      <c r="C57" s="1" t="s">
        <v>35</v>
      </c>
      <c r="D57" s="2">
        <v>18</v>
      </c>
      <c r="E57" s="2">
        <v>35</v>
      </c>
      <c r="F57" s="2">
        <v>82</v>
      </c>
      <c r="G57" s="2">
        <v>31</v>
      </c>
      <c r="H57" s="2">
        <v>26</v>
      </c>
      <c r="I57" s="3">
        <v>192</v>
      </c>
      <c r="J57" s="3">
        <v>500</v>
      </c>
      <c r="K57" s="4">
        <f>I57/J57</f>
        <v>0.38400000000000001</v>
      </c>
      <c r="L57" s="6">
        <f>100%-K57</f>
        <v>0.61599999999999999</v>
      </c>
      <c r="M57" s="7">
        <f>K57*100</f>
        <v>38.4</v>
      </c>
      <c r="N57" s="7" t="str" cm="1">
        <f t="array" ref="N57">_xlfn.IFS(
M57&gt;=80,"Outstanding",
M57&gt;=65,"Good",
M57&gt;=50,"Needs Improvement",
TRUE,"Critical"
)</f>
        <v>Critical</v>
      </c>
      <c r="O57" s="10">
        <f>_xlfn.RANK.EQ(M57,$M:$M,0)</f>
        <v>130</v>
      </c>
      <c r="P57">
        <f>Table2[[#This Row],[Total Sales]]/Table2[[#This Row],[Target]]*100</f>
        <v>38.4</v>
      </c>
    </row>
    <row r="58" spans="1:16" x14ac:dyDescent="0.3">
      <c r="A58" s="9" t="s">
        <v>132</v>
      </c>
      <c r="B58" s="1" t="s">
        <v>133</v>
      </c>
      <c r="C58" s="1" t="s">
        <v>14</v>
      </c>
      <c r="D58" s="2">
        <v>57</v>
      </c>
      <c r="E58" s="2">
        <v>60</v>
      </c>
      <c r="F58" s="2">
        <v>42</v>
      </c>
      <c r="G58" s="2">
        <v>81</v>
      </c>
      <c r="H58" s="2">
        <v>44</v>
      </c>
      <c r="I58" s="3">
        <v>284</v>
      </c>
      <c r="J58" s="3">
        <v>500</v>
      </c>
      <c r="K58" s="4">
        <f>I58/J58</f>
        <v>0.56799999999999995</v>
      </c>
      <c r="L58" s="6">
        <f>100%-K58</f>
        <v>0.43200000000000005</v>
      </c>
      <c r="M58" s="7">
        <f>K58*100</f>
        <v>56.8</v>
      </c>
      <c r="N58" s="7" t="str" cm="1">
        <f t="array" ref="N58">_xlfn.IFS(
M58&gt;=80,"Outstanding",
M58&gt;=65,"Good",
M58&gt;=50,"Needs Improvement",
TRUE,"Critical"
)</f>
        <v>Needs Improvement</v>
      </c>
      <c r="O58" s="10">
        <f>_xlfn.RANK.EQ(M58,$M:$M,0)</f>
        <v>70</v>
      </c>
      <c r="P58">
        <f>Table2[[#This Row],[Total Sales]]/Table2[[#This Row],[Target]]*100</f>
        <v>56.8</v>
      </c>
    </row>
    <row r="59" spans="1:16" x14ac:dyDescent="0.3">
      <c r="A59" s="9" t="s">
        <v>134</v>
      </c>
      <c r="B59" s="1" t="s">
        <v>135</v>
      </c>
      <c r="C59" s="1" t="s">
        <v>17</v>
      </c>
      <c r="D59" s="2">
        <v>34</v>
      </c>
      <c r="E59" s="2">
        <v>97</v>
      </c>
      <c r="F59" s="2">
        <v>66</v>
      </c>
      <c r="G59" s="2">
        <v>45</v>
      </c>
      <c r="H59" s="2">
        <v>50</v>
      </c>
      <c r="I59" s="3">
        <v>292</v>
      </c>
      <c r="J59" s="3">
        <v>500</v>
      </c>
      <c r="K59" s="4">
        <f>I59/J59</f>
        <v>0.58399999999999996</v>
      </c>
      <c r="L59" s="6">
        <f>100%-K59</f>
        <v>0.41600000000000004</v>
      </c>
      <c r="M59" s="7">
        <f>K59*100</f>
        <v>58.4</v>
      </c>
      <c r="N59" s="7" t="str" cm="1">
        <f t="array" ref="N59">_xlfn.IFS(
M59&gt;=80,"Outstanding",
M59&gt;=65,"Good",
M59&gt;=50,"Needs Improvement",
TRUE,"Critical"
)</f>
        <v>Needs Improvement</v>
      </c>
      <c r="O59" s="10">
        <f>_xlfn.RANK.EQ(M59,$M:$M,0)</f>
        <v>56</v>
      </c>
      <c r="P59">
        <f>Table2[[#This Row],[Total Sales]]/Table2[[#This Row],[Target]]*100</f>
        <v>58.4</v>
      </c>
    </row>
    <row r="60" spans="1:16" x14ac:dyDescent="0.3">
      <c r="A60" s="9" t="s">
        <v>136</v>
      </c>
      <c r="B60" s="1" t="s">
        <v>137</v>
      </c>
      <c r="C60" s="1" t="s">
        <v>20</v>
      </c>
      <c r="D60" s="2">
        <v>83</v>
      </c>
      <c r="E60" s="2">
        <v>12</v>
      </c>
      <c r="F60" s="2">
        <v>70</v>
      </c>
      <c r="G60" s="2">
        <v>83</v>
      </c>
      <c r="H60" s="2">
        <v>52</v>
      </c>
      <c r="I60" s="3">
        <v>300</v>
      </c>
      <c r="J60" s="3">
        <v>500</v>
      </c>
      <c r="K60" s="4">
        <f>I60/J60</f>
        <v>0.6</v>
      </c>
      <c r="L60" s="6">
        <f>100%-K60</f>
        <v>0.4</v>
      </c>
      <c r="M60" s="7">
        <f>K60*100</f>
        <v>60</v>
      </c>
      <c r="N60" s="7" t="str" cm="1">
        <f t="array" ref="N60">_xlfn.IFS(
M60&gt;=80,"Outstanding",
M60&gt;=65,"Good",
M60&gt;=50,"Needs Improvement",
TRUE,"Critical"
)</f>
        <v>Needs Improvement</v>
      </c>
      <c r="O60" s="10">
        <f>_xlfn.RANK.EQ(M60,$M:$M,0)</f>
        <v>52</v>
      </c>
      <c r="P60">
        <f>Table2[[#This Row],[Total Sales]]/Table2[[#This Row],[Target]]*100</f>
        <v>60</v>
      </c>
    </row>
    <row r="61" spans="1:16" x14ac:dyDescent="0.3">
      <c r="A61" s="9" t="s">
        <v>138</v>
      </c>
      <c r="B61" s="1" t="s">
        <v>139</v>
      </c>
      <c r="C61" s="1" t="s">
        <v>23</v>
      </c>
      <c r="D61" s="2">
        <v>76</v>
      </c>
      <c r="E61" s="2">
        <v>55</v>
      </c>
      <c r="F61" s="2">
        <v>56</v>
      </c>
      <c r="G61" s="2">
        <v>16</v>
      </c>
      <c r="H61" s="2">
        <v>61</v>
      </c>
      <c r="I61" s="3">
        <v>264</v>
      </c>
      <c r="J61" s="3">
        <v>500</v>
      </c>
      <c r="K61" s="4">
        <f>I61/J61</f>
        <v>0.52800000000000002</v>
      </c>
      <c r="L61" s="6">
        <f>100%-K61</f>
        <v>0.47199999999999998</v>
      </c>
      <c r="M61" s="7">
        <f>K61*100</f>
        <v>52.800000000000004</v>
      </c>
      <c r="N61" s="7" t="str" cm="1">
        <f t="array" ref="N61">_xlfn.IFS(
M61&gt;=80,"Outstanding",
M61&gt;=65,"Good",
M61&gt;=50,"Needs Improvement",
TRUE,"Critical"
)</f>
        <v>Needs Improvement</v>
      </c>
      <c r="O61" s="10">
        <f>_xlfn.RANK.EQ(M61,$M:$M,0)</f>
        <v>84</v>
      </c>
      <c r="P61">
        <f>Table2[[#This Row],[Total Sales]]/Table2[[#This Row],[Target]]*100</f>
        <v>52.800000000000004</v>
      </c>
    </row>
    <row r="62" spans="1:16" x14ac:dyDescent="0.3">
      <c r="A62" s="9" t="s">
        <v>140</v>
      </c>
      <c r="B62" s="1" t="s">
        <v>141</v>
      </c>
      <c r="C62" s="1" t="s">
        <v>26</v>
      </c>
      <c r="D62" s="2">
        <v>40</v>
      </c>
      <c r="E62" s="2">
        <v>70</v>
      </c>
      <c r="F62" s="2">
        <v>19</v>
      </c>
      <c r="G62" s="2">
        <v>36</v>
      </c>
      <c r="H62" s="2">
        <v>52</v>
      </c>
      <c r="I62" s="3">
        <v>217</v>
      </c>
      <c r="J62" s="3">
        <v>500</v>
      </c>
      <c r="K62" s="4">
        <f>I62/J62</f>
        <v>0.434</v>
      </c>
      <c r="L62" s="6">
        <f>100%-K62</f>
        <v>0.56600000000000006</v>
      </c>
      <c r="M62" s="7">
        <f>K62*100</f>
        <v>43.4</v>
      </c>
      <c r="N62" s="7" t="str" cm="1">
        <f t="array" ref="N62">_xlfn.IFS(
M62&gt;=80,"Outstanding",
M62&gt;=65,"Good",
M62&gt;=50,"Needs Improvement",
TRUE,"Critical"
)</f>
        <v>Critical</v>
      </c>
      <c r="O62" s="10">
        <f>_xlfn.RANK.EQ(M62,$M:$M,0)</f>
        <v>113</v>
      </c>
      <c r="P62">
        <f>Table2[[#This Row],[Total Sales]]/Table2[[#This Row],[Target]]*100</f>
        <v>43.4</v>
      </c>
    </row>
    <row r="63" spans="1:16" x14ac:dyDescent="0.3">
      <c r="A63" s="9" t="s">
        <v>142</v>
      </c>
      <c r="B63" s="1" t="s">
        <v>143</v>
      </c>
      <c r="C63" s="1" t="s">
        <v>29</v>
      </c>
      <c r="D63" s="2">
        <v>44</v>
      </c>
      <c r="E63" s="2">
        <v>60</v>
      </c>
      <c r="F63" s="2">
        <v>71</v>
      </c>
      <c r="G63" s="2">
        <v>34</v>
      </c>
      <c r="H63" s="2">
        <v>37</v>
      </c>
      <c r="I63" s="3">
        <v>246</v>
      </c>
      <c r="J63" s="3">
        <v>500</v>
      </c>
      <c r="K63" s="4">
        <f>I63/J63</f>
        <v>0.49199999999999999</v>
      </c>
      <c r="L63" s="6">
        <f>100%-K63</f>
        <v>0.50800000000000001</v>
      </c>
      <c r="M63" s="7">
        <f>K63*100</f>
        <v>49.2</v>
      </c>
      <c r="N63" s="7" t="str" cm="1">
        <f t="array" ref="N63">_xlfn.IFS(
M63&gt;=80,"Outstanding",
M63&gt;=65,"Good",
M63&gt;=50,"Needs Improvement",
TRUE,"Critical"
)</f>
        <v>Critical</v>
      </c>
      <c r="O63" s="10">
        <f>_xlfn.RANK.EQ(M63,$M:$M,0)</f>
        <v>93</v>
      </c>
      <c r="P63">
        <f>Table2[[#This Row],[Total Sales]]/Table2[[#This Row],[Target]]*100</f>
        <v>49.2</v>
      </c>
    </row>
    <row r="64" spans="1:16" x14ac:dyDescent="0.3">
      <c r="A64" s="9" t="s">
        <v>144</v>
      </c>
      <c r="B64" s="1" t="s">
        <v>145</v>
      </c>
      <c r="C64" s="1" t="s">
        <v>32</v>
      </c>
      <c r="D64" s="2">
        <v>43</v>
      </c>
      <c r="E64" s="2">
        <v>78</v>
      </c>
      <c r="F64" s="2">
        <v>15</v>
      </c>
      <c r="G64" s="2">
        <v>98</v>
      </c>
      <c r="H64" s="2">
        <v>33</v>
      </c>
      <c r="I64" s="3">
        <v>267</v>
      </c>
      <c r="J64" s="3">
        <v>500</v>
      </c>
      <c r="K64" s="4">
        <f>I64/J64</f>
        <v>0.53400000000000003</v>
      </c>
      <c r="L64" s="6">
        <f>100%-K64</f>
        <v>0.46599999999999997</v>
      </c>
      <c r="M64" s="7">
        <f>K64*100</f>
        <v>53.400000000000006</v>
      </c>
      <c r="N64" s="7" t="str" cm="1">
        <f t="array" ref="N64">_xlfn.IFS(
M64&gt;=80,"Outstanding",
M64&gt;=65,"Good",
M64&gt;=50,"Needs Improvement",
TRUE,"Critical"
)</f>
        <v>Needs Improvement</v>
      </c>
      <c r="O64" s="10">
        <f>_xlfn.RANK.EQ(M64,$M:$M,0)</f>
        <v>82</v>
      </c>
      <c r="P64">
        <f>Table2[[#This Row],[Total Sales]]/Table2[[#This Row],[Target]]*100</f>
        <v>53.400000000000006</v>
      </c>
    </row>
    <row r="65" spans="1:16" x14ac:dyDescent="0.3">
      <c r="A65" s="9" t="s">
        <v>146</v>
      </c>
      <c r="B65" s="1" t="s">
        <v>147</v>
      </c>
      <c r="C65" s="1" t="s">
        <v>35</v>
      </c>
      <c r="D65" s="2">
        <v>75</v>
      </c>
      <c r="E65" s="2">
        <v>75</v>
      </c>
      <c r="F65" s="2">
        <v>89</v>
      </c>
      <c r="G65" s="2">
        <v>97</v>
      </c>
      <c r="H65" s="2">
        <v>49</v>
      </c>
      <c r="I65" s="3">
        <v>385</v>
      </c>
      <c r="J65" s="3">
        <v>500</v>
      </c>
      <c r="K65" s="4">
        <f>I65/J65</f>
        <v>0.77</v>
      </c>
      <c r="L65" s="6">
        <f>100%-K65</f>
        <v>0.22999999999999998</v>
      </c>
      <c r="M65" s="7">
        <f>K65*100</f>
        <v>77</v>
      </c>
      <c r="N65" s="7" t="str" cm="1">
        <f t="array" ref="N65">_xlfn.IFS(
M65&gt;=80,"Outstanding",
M65&gt;=65,"Good",
M65&gt;=50,"Needs Improvement",
TRUE,"Critical"
)</f>
        <v>Good</v>
      </c>
      <c r="O65" s="10">
        <f>_xlfn.RANK.EQ(M65,$M:$M,0)</f>
        <v>2</v>
      </c>
      <c r="P65">
        <f>Table2[[#This Row],[Total Sales]]/Table2[[#This Row],[Target]]*100</f>
        <v>77</v>
      </c>
    </row>
    <row r="66" spans="1:16" x14ac:dyDescent="0.3">
      <c r="A66" s="9" t="s">
        <v>148</v>
      </c>
      <c r="B66" s="1" t="s">
        <v>149</v>
      </c>
      <c r="C66" s="1" t="s">
        <v>14</v>
      </c>
      <c r="D66" s="2">
        <v>74</v>
      </c>
      <c r="E66" s="2">
        <v>51</v>
      </c>
      <c r="F66" s="2">
        <v>97</v>
      </c>
      <c r="G66" s="2">
        <v>73</v>
      </c>
      <c r="H66" s="2">
        <v>33</v>
      </c>
      <c r="I66" s="3">
        <v>328</v>
      </c>
      <c r="J66" s="3">
        <v>500</v>
      </c>
      <c r="K66" s="4">
        <f>I66/J66</f>
        <v>0.65600000000000003</v>
      </c>
      <c r="L66" s="6">
        <f>100%-K66</f>
        <v>0.34399999999999997</v>
      </c>
      <c r="M66" s="7">
        <f>K66*100</f>
        <v>65.600000000000009</v>
      </c>
      <c r="N66" s="7" t="str" cm="1">
        <f t="array" ref="N66">_xlfn.IFS(
M66&gt;=80,"Outstanding",
M66&gt;=65,"Good",
M66&gt;=50,"Needs Improvement",
TRUE,"Critical"
)</f>
        <v>Good</v>
      </c>
      <c r="O66" s="10">
        <f>_xlfn.RANK.EQ(M66,$M:$M,0)</f>
        <v>28</v>
      </c>
      <c r="P66">
        <f>Table2[[#This Row],[Total Sales]]/Table2[[#This Row],[Target]]*100</f>
        <v>65.600000000000009</v>
      </c>
    </row>
    <row r="67" spans="1:16" x14ac:dyDescent="0.3">
      <c r="A67" s="9" t="s">
        <v>150</v>
      </c>
      <c r="B67" s="1" t="s">
        <v>151</v>
      </c>
      <c r="C67" s="1" t="s">
        <v>17</v>
      </c>
      <c r="D67" s="2">
        <v>44</v>
      </c>
      <c r="E67" s="2">
        <v>36</v>
      </c>
      <c r="F67" s="2">
        <v>11</v>
      </c>
      <c r="G67" s="2">
        <v>45</v>
      </c>
      <c r="H67" s="2">
        <v>30</v>
      </c>
      <c r="I67" s="3">
        <v>166</v>
      </c>
      <c r="J67" s="3">
        <v>500</v>
      </c>
      <c r="K67" s="4">
        <f>I67/J67</f>
        <v>0.33200000000000002</v>
      </c>
      <c r="L67" s="6">
        <f>100%-K67</f>
        <v>0.66799999999999993</v>
      </c>
      <c r="M67" s="7">
        <f>K67*100</f>
        <v>33.200000000000003</v>
      </c>
      <c r="N67" s="7" t="str" cm="1">
        <f t="array" ref="N67">_xlfn.IFS(
M67&gt;=80,"Outstanding",
M67&gt;=65,"Good",
M67&gt;=50,"Needs Improvement",
TRUE,"Critical"
)</f>
        <v>Critical</v>
      </c>
      <c r="O67" s="10">
        <f>_xlfn.RANK.EQ(M67,$M:$M,0)</f>
        <v>138</v>
      </c>
      <c r="P67">
        <f>Table2[[#This Row],[Total Sales]]/Table2[[#This Row],[Target]]*100</f>
        <v>33.200000000000003</v>
      </c>
    </row>
    <row r="68" spans="1:16" x14ac:dyDescent="0.3">
      <c r="A68" s="9" t="s">
        <v>152</v>
      </c>
      <c r="B68" s="1" t="s">
        <v>153</v>
      </c>
      <c r="C68" s="1" t="s">
        <v>20</v>
      </c>
      <c r="D68" s="2">
        <v>87</v>
      </c>
      <c r="E68" s="2">
        <v>79</v>
      </c>
      <c r="F68" s="2">
        <v>46</v>
      </c>
      <c r="G68" s="2">
        <v>65</v>
      </c>
      <c r="H68" s="2">
        <v>65</v>
      </c>
      <c r="I68" s="3">
        <v>342</v>
      </c>
      <c r="J68" s="3">
        <v>500</v>
      </c>
      <c r="K68" s="4">
        <f>I68/J68</f>
        <v>0.68400000000000005</v>
      </c>
      <c r="L68" s="6">
        <f>100%-K68</f>
        <v>0.31599999999999995</v>
      </c>
      <c r="M68" s="7">
        <f>K68*100</f>
        <v>68.400000000000006</v>
      </c>
      <c r="N68" s="7" t="str" cm="1">
        <f t="array" ref="N68">_xlfn.IFS(
M68&gt;=80,"Outstanding",
M68&gt;=65,"Good",
M68&gt;=50,"Needs Improvement",
TRUE,"Critical"
)</f>
        <v>Good</v>
      </c>
      <c r="O68" s="10">
        <f>_xlfn.RANK.EQ(M68,$M:$M,0)</f>
        <v>21</v>
      </c>
      <c r="P68">
        <f>Table2[[#This Row],[Total Sales]]/Table2[[#This Row],[Target]]*100</f>
        <v>68.400000000000006</v>
      </c>
    </row>
    <row r="69" spans="1:16" x14ac:dyDescent="0.3">
      <c r="A69" s="9" t="s">
        <v>154</v>
      </c>
      <c r="B69" s="1" t="s">
        <v>155</v>
      </c>
      <c r="C69" s="1" t="s">
        <v>23</v>
      </c>
      <c r="D69" s="2">
        <v>70</v>
      </c>
      <c r="E69" s="2">
        <v>52</v>
      </c>
      <c r="F69" s="2">
        <v>80</v>
      </c>
      <c r="G69" s="2">
        <v>43</v>
      </c>
      <c r="H69" s="2">
        <v>48</v>
      </c>
      <c r="I69" s="3">
        <v>293</v>
      </c>
      <c r="J69" s="3">
        <v>500</v>
      </c>
      <c r="K69" s="4">
        <f>I69/J69</f>
        <v>0.58599999999999997</v>
      </c>
      <c r="L69" s="6">
        <f>100%-K69</f>
        <v>0.41400000000000003</v>
      </c>
      <c r="M69" s="7">
        <f>K69*100</f>
        <v>58.599999999999994</v>
      </c>
      <c r="N69" s="7" t="str" cm="1">
        <f t="array" ref="N69">_xlfn.IFS(
M69&gt;=80,"Outstanding",
M69&gt;=65,"Good",
M69&gt;=50,"Needs Improvement",
TRUE,"Critical"
)</f>
        <v>Needs Improvement</v>
      </c>
      <c r="O69" s="10">
        <f>_xlfn.RANK.EQ(M69,$M:$M,0)</f>
        <v>55</v>
      </c>
      <c r="P69">
        <f>Table2[[#This Row],[Total Sales]]/Table2[[#This Row],[Target]]*100</f>
        <v>58.599999999999994</v>
      </c>
    </row>
    <row r="70" spans="1:16" x14ac:dyDescent="0.3">
      <c r="A70" s="9" t="s">
        <v>156</v>
      </c>
      <c r="B70" s="1" t="s">
        <v>157</v>
      </c>
      <c r="C70" s="1" t="s">
        <v>26</v>
      </c>
      <c r="D70" s="2">
        <v>45</v>
      </c>
      <c r="E70" s="2">
        <v>26</v>
      </c>
      <c r="F70" s="2">
        <v>27</v>
      </c>
      <c r="G70" s="2">
        <v>14</v>
      </c>
      <c r="H70" s="2">
        <v>59</v>
      </c>
      <c r="I70" s="3">
        <v>171</v>
      </c>
      <c r="J70" s="3">
        <v>500</v>
      </c>
      <c r="K70" s="4">
        <f>I70/J70</f>
        <v>0.34200000000000003</v>
      </c>
      <c r="L70" s="6">
        <f>100%-K70</f>
        <v>0.65799999999999992</v>
      </c>
      <c r="M70" s="7">
        <f>K70*100</f>
        <v>34.200000000000003</v>
      </c>
      <c r="N70" s="7" t="str" cm="1">
        <f t="array" ref="N70">_xlfn.IFS(
M70&gt;=80,"Outstanding",
M70&gt;=65,"Good",
M70&gt;=50,"Needs Improvement",
TRUE,"Critical"
)</f>
        <v>Critical</v>
      </c>
      <c r="O70" s="10">
        <f>_xlfn.RANK.EQ(M70,$M:$M,0)</f>
        <v>137</v>
      </c>
      <c r="P70">
        <f>Table2[[#This Row],[Total Sales]]/Table2[[#This Row],[Target]]*100</f>
        <v>34.200000000000003</v>
      </c>
    </row>
    <row r="71" spans="1:16" x14ac:dyDescent="0.3">
      <c r="A71" s="9" t="s">
        <v>158</v>
      </c>
      <c r="B71" s="1" t="s">
        <v>159</v>
      </c>
      <c r="C71" s="1" t="s">
        <v>29</v>
      </c>
      <c r="D71" s="2">
        <v>51</v>
      </c>
      <c r="E71" s="2">
        <v>26</v>
      </c>
      <c r="F71" s="2">
        <v>58</v>
      </c>
      <c r="G71" s="2">
        <v>83</v>
      </c>
      <c r="H71" s="2">
        <v>11</v>
      </c>
      <c r="I71" s="3">
        <v>229</v>
      </c>
      <c r="J71" s="3">
        <v>500</v>
      </c>
      <c r="K71" s="4">
        <f>I71/J71</f>
        <v>0.45800000000000002</v>
      </c>
      <c r="L71" s="6">
        <f>100%-K71</f>
        <v>0.54200000000000004</v>
      </c>
      <c r="M71" s="7">
        <f>K71*100</f>
        <v>45.800000000000004</v>
      </c>
      <c r="N71" s="7" t="str" cm="1">
        <f t="array" ref="N71">_xlfn.IFS(
M71&gt;=80,"Outstanding",
M71&gt;=65,"Good",
M71&gt;=50,"Needs Improvement",
TRUE,"Critical"
)</f>
        <v>Critical</v>
      </c>
      <c r="O71" s="10">
        <f>_xlfn.RANK.EQ(M71,$M:$M,0)</f>
        <v>106</v>
      </c>
      <c r="P71">
        <f>Table2[[#This Row],[Total Sales]]/Table2[[#This Row],[Target]]*100</f>
        <v>45.800000000000004</v>
      </c>
    </row>
    <row r="72" spans="1:16" x14ac:dyDescent="0.3">
      <c r="A72" s="9" t="s">
        <v>160</v>
      </c>
      <c r="B72" s="1" t="s">
        <v>161</v>
      </c>
      <c r="C72" s="1" t="s">
        <v>32</v>
      </c>
      <c r="D72" s="2">
        <v>68</v>
      </c>
      <c r="E72" s="2">
        <v>36</v>
      </c>
      <c r="F72" s="2">
        <v>15</v>
      </c>
      <c r="G72" s="2">
        <v>20</v>
      </c>
      <c r="H72" s="2">
        <v>17</v>
      </c>
      <c r="I72" s="3">
        <v>156</v>
      </c>
      <c r="J72" s="3">
        <v>500</v>
      </c>
      <c r="K72" s="4">
        <f>I72/J72</f>
        <v>0.312</v>
      </c>
      <c r="L72" s="6">
        <f>100%-K72</f>
        <v>0.68799999999999994</v>
      </c>
      <c r="M72" s="7">
        <f>K72*100</f>
        <v>31.2</v>
      </c>
      <c r="N72" s="7" t="str" cm="1">
        <f t="array" ref="N72">_xlfn.IFS(
M72&gt;=80,"Outstanding",
M72&gt;=65,"Good",
M72&gt;=50,"Needs Improvement",
TRUE,"Critical"
)</f>
        <v>Critical</v>
      </c>
      <c r="O72" s="10">
        <f>_xlfn.RANK.EQ(M72,$M:$M,0)</f>
        <v>140</v>
      </c>
      <c r="P72">
        <f>Table2[[#This Row],[Total Sales]]/Table2[[#This Row],[Target]]*100</f>
        <v>31.2</v>
      </c>
    </row>
    <row r="73" spans="1:16" x14ac:dyDescent="0.3">
      <c r="A73" s="9" t="s">
        <v>162</v>
      </c>
      <c r="B73" s="1" t="s">
        <v>163</v>
      </c>
      <c r="C73" s="1" t="s">
        <v>35</v>
      </c>
      <c r="D73" s="2">
        <v>32</v>
      </c>
      <c r="E73" s="2">
        <v>74</v>
      </c>
      <c r="F73" s="2">
        <v>18</v>
      </c>
      <c r="G73" s="2">
        <v>33</v>
      </c>
      <c r="H73" s="2">
        <v>51</v>
      </c>
      <c r="I73" s="3">
        <v>208</v>
      </c>
      <c r="J73" s="3">
        <v>500</v>
      </c>
      <c r="K73" s="4">
        <f>I73/J73</f>
        <v>0.41599999999999998</v>
      </c>
      <c r="L73" s="6">
        <f>100%-K73</f>
        <v>0.58400000000000007</v>
      </c>
      <c r="M73" s="7">
        <f>K73*100</f>
        <v>41.6</v>
      </c>
      <c r="N73" s="7" t="str" cm="1">
        <f t="array" ref="N73">_xlfn.IFS(
M73&gt;=80,"Outstanding",
M73&gt;=65,"Good",
M73&gt;=50,"Needs Improvement",
TRUE,"Critical"
)</f>
        <v>Critical</v>
      </c>
      <c r="O73" s="10">
        <f>_xlfn.RANK.EQ(M73,$M:$M,0)</f>
        <v>124</v>
      </c>
      <c r="P73">
        <f>Table2[[#This Row],[Total Sales]]/Table2[[#This Row],[Target]]*100</f>
        <v>41.6</v>
      </c>
    </row>
    <row r="74" spans="1:16" x14ac:dyDescent="0.3">
      <c r="A74" s="9" t="s">
        <v>164</v>
      </c>
      <c r="B74" s="1" t="s">
        <v>165</v>
      </c>
      <c r="C74" s="1" t="s">
        <v>14</v>
      </c>
      <c r="D74" s="2">
        <v>41</v>
      </c>
      <c r="E74" s="2">
        <v>11</v>
      </c>
      <c r="F74" s="2">
        <v>46</v>
      </c>
      <c r="G74" s="2">
        <v>35</v>
      </c>
      <c r="H74" s="2">
        <v>10</v>
      </c>
      <c r="I74" s="3">
        <v>143</v>
      </c>
      <c r="J74" s="3">
        <v>500</v>
      </c>
      <c r="K74" s="4">
        <f>I74/J74</f>
        <v>0.28599999999999998</v>
      </c>
      <c r="L74" s="6">
        <f>100%-K74</f>
        <v>0.71399999999999997</v>
      </c>
      <c r="M74" s="7">
        <f>K74*100</f>
        <v>28.599999999999998</v>
      </c>
      <c r="N74" s="7" t="str" cm="1">
        <f t="array" ref="N74">_xlfn.IFS(
M74&gt;=80,"Outstanding",
M74&gt;=65,"Good",
M74&gt;=50,"Needs Improvement",
TRUE,"Critical"
)</f>
        <v>Critical</v>
      </c>
      <c r="O74" s="10">
        <f>_xlfn.RANK.EQ(M74,$M:$M,0)</f>
        <v>141</v>
      </c>
      <c r="P74">
        <f>Table2[[#This Row],[Total Sales]]/Table2[[#This Row],[Target]]*100</f>
        <v>28.599999999999998</v>
      </c>
    </row>
    <row r="75" spans="1:16" x14ac:dyDescent="0.3">
      <c r="A75" s="9" t="s">
        <v>166</v>
      </c>
      <c r="B75" s="1" t="s">
        <v>167</v>
      </c>
      <c r="C75" s="1" t="s">
        <v>17</v>
      </c>
      <c r="D75" s="2">
        <v>41</v>
      </c>
      <c r="E75" s="2">
        <v>17</v>
      </c>
      <c r="F75" s="2">
        <v>82</v>
      </c>
      <c r="G75" s="2">
        <v>75</v>
      </c>
      <c r="H75" s="2">
        <v>39</v>
      </c>
      <c r="I75" s="3">
        <v>254</v>
      </c>
      <c r="J75" s="3">
        <v>500</v>
      </c>
      <c r="K75" s="4">
        <f>I75/J75</f>
        <v>0.50800000000000001</v>
      </c>
      <c r="L75" s="6">
        <f>100%-K75</f>
        <v>0.49199999999999999</v>
      </c>
      <c r="M75" s="7">
        <f>K75*100</f>
        <v>50.8</v>
      </c>
      <c r="N75" s="7" t="str" cm="1">
        <f t="array" ref="N75">_xlfn.IFS(
M75&gt;=80,"Outstanding",
M75&gt;=65,"Good",
M75&gt;=50,"Needs Improvement",
TRUE,"Critical"
)</f>
        <v>Needs Improvement</v>
      </c>
      <c r="O75" s="10">
        <f>_xlfn.RANK.EQ(M75,$M:$M,0)</f>
        <v>89</v>
      </c>
      <c r="P75">
        <f>Table2[[#This Row],[Total Sales]]/Table2[[#This Row],[Target]]*100</f>
        <v>50.8</v>
      </c>
    </row>
    <row r="76" spans="1:16" x14ac:dyDescent="0.3">
      <c r="A76" s="9" t="s">
        <v>168</v>
      </c>
      <c r="B76" s="1" t="s">
        <v>169</v>
      </c>
      <c r="C76" s="1" t="s">
        <v>20</v>
      </c>
      <c r="D76" s="2">
        <v>12</v>
      </c>
      <c r="E76" s="2">
        <v>97</v>
      </c>
      <c r="F76" s="2">
        <v>45</v>
      </c>
      <c r="G76" s="2">
        <v>29</v>
      </c>
      <c r="H76" s="2">
        <v>41</v>
      </c>
      <c r="I76" s="3">
        <v>224</v>
      </c>
      <c r="J76" s="3">
        <v>500</v>
      </c>
      <c r="K76" s="4">
        <f>I76/J76</f>
        <v>0.44800000000000001</v>
      </c>
      <c r="L76" s="6">
        <f>100%-K76</f>
        <v>0.55200000000000005</v>
      </c>
      <c r="M76" s="7">
        <f>K76*100</f>
        <v>44.800000000000004</v>
      </c>
      <c r="N76" s="7" t="str" cm="1">
        <f t="array" ref="N76">_xlfn.IFS(
M76&gt;=80,"Outstanding",
M76&gt;=65,"Good",
M76&gt;=50,"Needs Improvement",
TRUE,"Critical"
)</f>
        <v>Critical</v>
      </c>
      <c r="O76" s="10">
        <f>_xlfn.RANK.EQ(M76,$M:$M,0)</f>
        <v>108</v>
      </c>
      <c r="P76">
        <f>Table2[[#This Row],[Total Sales]]/Table2[[#This Row],[Target]]*100</f>
        <v>44.800000000000004</v>
      </c>
    </row>
    <row r="77" spans="1:16" x14ac:dyDescent="0.3">
      <c r="A77" s="9" t="s">
        <v>170</v>
      </c>
      <c r="B77" s="1" t="s">
        <v>171</v>
      </c>
      <c r="C77" s="1" t="s">
        <v>23</v>
      </c>
      <c r="D77" s="2">
        <v>19</v>
      </c>
      <c r="E77" s="2">
        <v>72</v>
      </c>
      <c r="F77" s="2">
        <v>87</v>
      </c>
      <c r="G77" s="2">
        <v>82</v>
      </c>
      <c r="H77" s="2">
        <v>27</v>
      </c>
      <c r="I77" s="3">
        <v>287</v>
      </c>
      <c r="J77" s="3">
        <v>500</v>
      </c>
      <c r="K77" s="4">
        <f>I77/J77</f>
        <v>0.57399999999999995</v>
      </c>
      <c r="L77" s="6">
        <f>100%-K77</f>
        <v>0.42600000000000005</v>
      </c>
      <c r="M77" s="7">
        <f>K77*100</f>
        <v>57.4</v>
      </c>
      <c r="N77" s="7" t="str" cm="1">
        <f t="array" ref="N77">_xlfn.IFS(
M77&gt;=80,"Outstanding",
M77&gt;=65,"Good",
M77&gt;=50,"Needs Improvement",
TRUE,"Critical"
)</f>
        <v>Needs Improvement</v>
      </c>
      <c r="O77" s="10">
        <f>_xlfn.RANK.EQ(M77,$M:$M,0)</f>
        <v>63</v>
      </c>
      <c r="P77">
        <f>Table2[[#This Row],[Total Sales]]/Table2[[#This Row],[Target]]*100</f>
        <v>57.4</v>
      </c>
    </row>
    <row r="78" spans="1:16" x14ac:dyDescent="0.3">
      <c r="A78" s="9" t="s">
        <v>172</v>
      </c>
      <c r="B78" s="1" t="s">
        <v>173</v>
      </c>
      <c r="C78" s="1" t="s">
        <v>26</v>
      </c>
      <c r="D78" s="2">
        <v>98</v>
      </c>
      <c r="E78" s="2">
        <v>15</v>
      </c>
      <c r="F78" s="2">
        <v>72</v>
      </c>
      <c r="G78" s="2">
        <v>67</v>
      </c>
      <c r="H78" s="2">
        <v>34</v>
      </c>
      <c r="I78" s="3">
        <v>286</v>
      </c>
      <c r="J78" s="3">
        <v>500</v>
      </c>
      <c r="K78" s="4">
        <f>I78/J78</f>
        <v>0.57199999999999995</v>
      </c>
      <c r="L78" s="6">
        <f>100%-K78</f>
        <v>0.42800000000000005</v>
      </c>
      <c r="M78" s="7">
        <f>K78*100</f>
        <v>57.199999999999996</v>
      </c>
      <c r="N78" s="7" t="str" cm="1">
        <f t="array" ref="N78">_xlfn.IFS(
M78&gt;=80,"Outstanding",
M78&gt;=65,"Good",
M78&gt;=50,"Needs Improvement",
TRUE,"Critical"
)</f>
        <v>Needs Improvement</v>
      </c>
      <c r="O78" s="10">
        <f>_xlfn.RANK.EQ(M78,$M:$M,0)</f>
        <v>64</v>
      </c>
      <c r="P78">
        <f>Table2[[#This Row],[Total Sales]]/Table2[[#This Row],[Target]]*100</f>
        <v>57.199999999999996</v>
      </c>
    </row>
    <row r="79" spans="1:16" x14ac:dyDescent="0.3">
      <c r="A79" s="9" t="s">
        <v>174</v>
      </c>
      <c r="B79" s="1" t="s">
        <v>175</v>
      </c>
      <c r="C79" s="1" t="s">
        <v>29</v>
      </c>
      <c r="D79" s="2">
        <v>50</v>
      </c>
      <c r="E79" s="2">
        <v>44</v>
      </c>
      <c r="F79" s="2">
        <v>46</v>
      </c>
      <c r="G79" s="2">
        <v>13</v>
      </c>
      <c r="H79" s="2">
        <v>92</v>
      </c>
      <c r="I79" s="3">
        <v>245</v>
      </c>
      <c r="J79" s="3">
        <v>500</v>
      </c>
      <c r="K79" s="4">
        <f>I79/J79</f>
        <v>0.49</v>
      </c>
      <c r="L79" s="6">
        <f>100%-K79</f>
        <v>0.51</v>
      </c>
      <c r="M79" s="7">
        <f>K79*100</f>
        <v>49</v>
      </c>
      <c r="N79" s="7" t="str" cm="1">
        <f t="array" ref="N79">_xlfn.IFS(
M79&gt;=80,"Outstanding",
M79&gt;=65,"Good",
M79&gt;=50,"Needs Improvement",
TRUE,"Critical"
)</f>
        <v>Critical</v>
      </c>
      <c r="O79" s="10">
        <f>_xlfn.RANK.EQ(M79,$M:$M,0)</f>
        <v>94</v>
      </c>
      <c r="P79">
        <f>Table2[[#This Row],[Total Sales]]/Table2[[#This Row],[Target]]*100</f>
        <v>49</v>
      </c>
    </row>
    <row r="80" spans="1:16" x14ac:dyDescent="0.3">
      <c r="A80" s="9" t="s">
        <v>176</v>
      </c>
      <c r="B80" s="1" t="s">
        <v>177</v>
      </c>
      <c r="C80" s="1" t="s">
        <v>32</v>
      </c>
      <c r="D80" s="2">
        <v>40</v>
      </c>
      <c r="E80" s="2">
        <v>82</v>
      </c>
      <c r="F80" s="2">
        <v>72</v>
      </c>
      <c r="G80" s="2">
        <v>42</v>
      </c>
      <c r="H80" s="2">
        <v>45</v>
      </c>
      <c r="I80" s="3">
        <v>281</v>
      </c>
      <c r="J80" s="3">
        <v>500</v>
      </c>
      <c r="K80" s="4">
        <f>I80/J80</f>
        <v>0.56200000000000006</v>
      </c>
      <c r="L80" s="6">
        <f>100%-K80</f>
        <v>0.43799999999999994</v>
      </c>
      <c r="M80" s="7">
        <f>K80*100</f>
        <v>56.2</v>
      </c>
      <c r="N80" s="7" t="str" cm="1">
        <f t="array" ref="N80">_xlfn.IFS(
M80&gt;=80,"Outstanding",
M80&gt;=65,"Good",
M80&gt;=50,"Needs Improvement",
TRUE,"Critical"
)</f>
        <v>Needs Improvement</v>
      </c>
      <c r="O80" s="10">
        <f>_xlfn.RANK.EQ(M80,$M:$M,0)</f>
        <v>72</v>
      </c>
      <c r="P80">
        <f>Table2[[#This Row],[Total Sales]]/Table2[[#This Row],[Target]]*100</f>
        <v>56.2</v>
      </c>
    </row>
    <row r="81" spans="1:16" x14ac:dyDescent="0.3">
      <c r="A81" s="9" t="s">
        <v>178</v>
      </c>
      <c r="B81" s="1" t="s">
        <v>179</v>
      </c>
      <c r="C81" s="1" t="s">
        <v>35</v>
      </c>
      <c r="D81" s="2">
        <v>23</v>
      </c>
      <c r="E81" s="2">
        <v>83</v>
      </c>
      <c r="F81" s="2">
        <v>63</v>
      </c>
      <c r="G81" s="2">
        <v>65</v>
      </c>
      <c r="H81" s="2">
        <v>83</v>
      </c>
      <c r="I81" s="3">
        <v>317</v>
      </c>
      <c r="J81" s="3">
        <v>500</v>
      </c>
      <c r="K81" s="4">
        <f>I81/J81</f>
        <v>0.63400000000000001</v>
      </c>
      <c r="L81" s="6">
        <f>100%-K81</f>
        <v>0.36599999999999999</v>
      </c>
      <c r="M81" s="7">
        <f>K81*100</f>
        <v>63.4</v>
      </c>
      <c r="N81" s="7" t="str" cm="1">
        <f t="array" ref="N81">_xlfn.IFS(
M81&gt;=80,"Outstanding",
M81&gt;=65,"Good",
M81&gt;=50,"Needs Improvement",
TRUE,"Critical"
)</f>
        <v>Needs Improvement</v>
      </c>
      <c r="O81" s="10">
        <f>_xlfn.RANK.EQ(M81,$M:$M,0)</f>
        <v>38</v>
      </c>
      <c r="P81">
        <f>Table2[[#This Row],[Total Sales]]/Table2[[#This Row],[Target]]*100</f>
        <v>63.4</v>
      </c>
    </row>
    <row r="82" spans="1:16" x14ac:dyDescent="0.3">
      <c r="A82" s="9" t="s">
        <v>180</v>
      </c>
      <c r="B82" s="1" t="s">
        <v>181</v>
      </c>
      <c r="C82" s="1" t="s">
        <v>14</v>
      </c>
      <c r="D82" s="2">
        <v>71</v>
      </c>
      <c r="E82" s="2">
        <v>94</v>
      </c>
      <c r="F82" s="2">
        <v>45</v>
      </c>
      <c r="G82" s="2">
        <v>95</v>
      </c>
      <c r="H82" s="2">
        <v>46</v>
      </c>
      <c r="I82" s="3">
        <v>351</v>
      </c>
      <c r="J82" s="3">
        <v>500</v>
      </c>
      <c r="K82" s="4">
        <f>I82/J82</f>
        <v>0.70199999999999996</v>
      </c>
      <c r="L82" s="6">
        <f>100%-K82</f>
        <v>0.29800000000000004</v>
      </c>
      <c r="M82" s="7">
        <f>K82*100</f>
        <v>70.199999999999989</v>
      </c>
      <c r="N82" s="7" t="str" cm="1">
        <f t="array" ref="N82">_xlfn.IFS(
M82&gt;=80,"Outstanding",
M82&gt;=65,"Good",
M82&gt;=50,"Needs Improvement",
TRUE,"Critical"
)</f>
        <v>Good</v>
      </c>
      <c r="O82" s="10">
        <f>_xlfn.RANK.EQ(M82,$M:$M,0)</f>
        <v>15</v>
      </c>
      <c r="P82">
        <f>Table2[[#This Row],[Total Sales]]/Table2[[#This Row],[Target]]*100</f>
        <v>70.199999999999989</v>
      </c>
    </row>
    <row r="83" spans="1:16" x14ac:dyDescent="0.3">
      <c r="A83" s="9" t="s">
        <v>182</v>
      </c>
      <c r="B83" s="1" t="s">
        <v>183</v>
      </c>
      <c r="C83" s="1" t="s">
        <v>17</v>
      </c>
      <c r="D83" s="2">
        <v>48</v>
      </c>
      <c r="E83" s="2">
        <v>49</v>
      </c>
      <c r="F83" s="2">
        <v>68</v>
      </c>
      <c r="G83" s="2">
        <v>23</v>
      </c>
      <c r="H83" s="2">
        <v>21</v>
      </c>
      <c r="I83" s="3">
        <v>209</v>
      </c>
      <c r="J83" s="3">
        <v>500</v>
      </c>
      <c r="K83" s="4">
        <f>I83/J83</f>
        <v>0.41799999999999998</v>
      </c>
      <c r="L83" s="6">
        <f>100%-K83</f>
        <v>0.58200000000000007</v>
      </c>
      <c r="M83" s="7">
        <f>K83*100</f>
        <v>41.8</v>
      </c>
      <c r="N83" s="7" t="str" cm="1">
        <f t="array" ref="N83">_xlfn.IFS(
M83&gt;=80,"Outstanding",
M83&gt;=65,"Good",
M83&gt;=50,"Needs Improvement",
TRUE,"Critical"
)</f>
        <v>Critical</v>
      </c>
      <c r="O83" s="10">
        <f>_xlfn.RANK.EQ(M83,$M:$M,0)</f>
        <v>122</v>
      </c>
      <c r="P83">
        <f>Table2[[#This Row],[Total Sales]]/Table2[[#This Row],[Target]]*100</f>
        <v>41.8</v>
      </c>
    </row>
    <row r="84" spans="1:16" x14ac:dyDescent="0.3">
      <c r="A84" s="9" t="s">
        <v>184</v>
      </c>
      <c r="B84" s="1" t="s">
        <v>185</v>
      </c>
      <c r="C84" s="1" t="s">
        <v>20</v>
      </c>
      <c r="D84" s="2">
        <v>77</v>
      </c>
      <c r="E84" s="2">
        <v>83</v>
      </c>
      <c r="F84" s="2">
        <v>64</v>
      </c>
      <c r="G84" s="2">
        <v>53</v>
      </c>
      <c r="H84" s="2">
        <v>13</v>
      </c>
      <c r="I84" s="3">
        <v>290</v>
      </c>
      <c r="J84" s="3">
        <v>500</v>
      </c>
      <c r="K84" s="4">
        <f>I84/J84</f>
        <v>0.57999999999999996</v>
      </c>
      <c r="L84" s="6">
        <f>100%-K84</f>
        <v>0.42000000000000004</v>
      </c>
      <c r="M84" s="7">
        <f>K84*100</f>
        <v>57.999999999999993</v>
      </c>
      <c r="N84" s="7" t="str" cm="1">
        <f t="array" ref="N84">_xlfn.IFS(
M84&gt;=80,"Outstanding",
M84&gt;=65,"Good",
M84&gt;=50,"Needs Improvement",
TRUE,"Critical"
)</f>
        <v>Needs Improvement</v>
      </c>
      <c r="O84" s="10">
        <f>_xlfn.RANK.EQ(M84,$M:$M,0)</f>
        <v>59</v>
      </c>
      <c r="P84">
        <f>Table2[[#This Row],[Total Sales]]/Table2[[#This Row],[Target]]*100</f>
        <v>57.999999999999993</v>
      </c>
    </row>
    <row r="85" spans="1:16" x14ac:dyDescent="0.3">
      <c r="A85" s="9" t="s">
        <v>186</v>
      </c>
      <c r="B85" s="1" t="s">
        <v>187</v>
      </c>
      <c r="C85" s="1" t="s">
        <v>23</v>
      </c>
      <c r="D85" s="2">
        <v>81</v>
      </c>
      <c r="E85" s="2">
        <v>63</v>
      </c>
      <c r="F85" s="2">
        <v>88</v>
      </c>
      <c r="G85" s="2">
        <v>89</v>
      </c>
      <c r="H85" s="2">
        <v>63</v>
      </c>
      <c r="I85" s="3">
        <v>384</v>
      </c>
      <c r="J85" s="3">
        <v>500</v>
      </c>
      <c r="K85" s="4">
        <f>I85/J85</f>
        <v>0.76800000000000002</v>
      </c>
      <c r="L85" s="6">
        <f>100%-K85</f>
        <v>0.23199999999999998</v>
      </c>
      <c r="M85" s="7">
        <f>K85*100</f>
        <v>76.8</v>
      </c>
      <c r="N85" s="7" t="str" cm="1">
        <f t="array" ref="N85">_xlfn.IFS(
M85&gt;=80,"Outstanding",
M85&gt;=65,"Good",
M85&gt;=50,"Needs Improvement",
TRUE,"Critical"
)</f>
        <v>Good</v>
      </c>
      <c r="O85" s="10">
        <f>_xlfn.RANK.EQ(M85,$M:$M,0)</f>
        <v>3</v>
      </c>
      <c r="P85">
        <f>Table2[[#This Row],[Total Sales]]/Table2[[#This Row],[Target]]*100</f>
        <v>76.8</v>
      </c>
    </row>
    <row r="86" spans="1:16" x14ac:dyDescent="0.3">
      <c r="A86" s="9" t="s">
        <v>188</v>
      </c>
      <c r="B86" s="1" t="s">
        <v>189</v>
      </c>
      <c r="C86" s="1" t="s">
        <v>26</v>
      </c>
      <c r="D86" s="2">
        <v>39</v>
      </c>
      <c r="E86" s="2">
        <v>87</v>
      </c>
      <c r="F86" s="2">
        <v>62</v>
      </c>
      <c r="G86" s="2">
        <v>80</v>
      </c>
      <c r="H86" s="2">
        <v>81</v>
      </c>
      <c r="I86" s="3">
        <v>349</v>
      </c>
      <c r="J86" s="3">
        <v>500</v>
      </c>
      <c r="K86" s="4">
        <f>I86/J86</f>
        <v>0.69799999999999995</v>
      </c>
      <c r="L86" s="6">
        <f>100%-K86</f>
        <v>0.30200000000000005</v>
      </c>
      <c r="M86" s="7">
        <f>K86*100</f>
        <v>69.8</v>
      </c>
      <c r="N86" s="7" t="str" cm="1">
        <f t="array" ref="N86">_xlfn.IFS(
M86&gt;=80,"Outstanding",
M86&gt;=65,"Good",
M86&gt;=50,"Needs Improvement",
TRUE,"Critical"
)</f>
        <v>Good</v>
      </c>
      <c r="O86" s="10">
        <f>_xlfn.RANK.EQ(M86,$M:$M,0)</f>
        <v>18</v>
      </c>
      <c r="P86">
        <f>Table2[[#This Row],[Total Sales]]/Table2[[#This Row],[Target]]*100</f>
        <v>69.8</v>
      </c>
    </row>
    <row r="87" spans="1:16" x14ac:dyDescent="0.3">
      <c r="A87" s="9" t="s">
        <v>190</v>
      </c>
      <c r="B87" s="1" t="s">
        <v>191</v>
      </c>
      <c r="C87" s="1" t="s">
        <v>29</v>
      </c>
      <c r="D87" s="2">
        <v>46</v>
      </c>
      <c r="E87" s="2">
        <v>19</v>
      </c>
      <c r="F87" s="2">
        <v>59</v>
      </c>
      <c r="G87" s="2">
        <v>58</v>
      </c>
      <c r="H87" s="2">
        <v>33</v>
      </c>
      <c r="I87" s="3">
        <v>215</v>
      </c>
      <c r="J87" s="3">
        <v>500</v>
      </c>
      <c r="K87" s="4">
        <f>I87/J87</f>
        <v>0.43</v>
      </c>
      <c r="L87" s="6">
        <f>100%-K87</f>
        <v>0.57000000000000006</v>
      </c>
      <c r="M87" s="7">
        <f>K87*100</f>
        <v>43</v>
      </c>
      <c r="N87" s="7" t="str" cm="1">
        <f t="array" ref="N87">_xlfn.IFS(
M87&gt;=80,"Outstanding",
M87&gt;=65,"Good",
M87&gt;=50,"Needs Improvement",
TRUE,"Critical"
)</f>
        <v>Critical</v>
      </c>
      <c r="O87" s="10">
        <f>_xlfn.RANK.EQ(M87,$M:$M,0)</f>
        <v>115</v>
      </c>
      <c r="P87">
        <f>Table2[[#This Row],[Total Sales]]/Table2[[#This Row],[Target]]*100</f>
        <v>43</v>
      </c>
    </row>
    <row r="88" spans="1:16" x14ac:dyDescent="0.3">
      <c r="A88" s="9" t="s">
        <v>192</v>
      </c>
      <c r="B88" s="1" t="s">
        <v>193</v>
      </c>
      <c r="C88" s="1" t="s">
        <v>32</v>
      </c>
      <c r="D88" s="2">
        <v>34</v>
      </c>
      <c r="E88" s="2">
        <v>15</v>
      </c>
      <c r="F88" s="2">
        <v>43</v>
      </c>
      <c r="G88" s="2">
        <v>63</v>
      </c>
      <c r="H88" s="2">
        <v>54</v>
      </c>
      <c r="I88" s="3">
        <v>209</v>
      </c>
      <c r="J88" s="3">
        <v>500</v>
      </c>
      <c r="K88" s="4">
        <f>I88/J88</f>
        <v>0.41799999999999998</v>
      </c>
      <c r="L88" s="6">
        <f>100%-K88</f>
        <v>0.58200000000000007</v>
      </c>
      <c r="M88" s="7">
        <f>K88*100</f>
        <v>41.8</v>
      </c>
      <c r="N88" s="7" t="str" cm="1">
        <f t="array" ref="N88">_xlfn.IFS(
M88&gt;=80,"Outstanding",
M88&gt;=65,"Good",
M88&gt;=50,"Needs Improvement",
TRUE,"Critical"
)</f>
        <v>Critical</v>
      </c>
      <c r="O88" s="10">
        <f>_xlfn.RANK.EQ(M88,$M:$M,0)</f>
        <v>122</v>
      </c>
      <c r="P88">
        <f>Table2[[#This Row],[Total Sales]]/Table2[[#This Row],[Target]]*100</f>
        <v>41.8</v>
      </c>
    </row>
    <row r="89" spans="1:16" x14ac:dyDescent="0.3">
      <c r="A89" s="9" t="s">
        <v>194</v>
      </c>
      <c r="B89" s="1" t="s">
        <v>195</v>
      </c>
      <c r="C89" s="1" t="s">
        <v>35</v>
      </c>
      <c r="D89" s="2">
        <v>32</v>
      </c>
      <c r="E89" s="2">
        <v>79</v>
      </c>
      <c r="F89" s="2">
        <v>65</v>
      </c>
      <c r="G89" s="2">
        <v>57</v>
      </c>
      <c r="H89" s="2">
        <v>73</v>
      </c>
      <c r="I89" s="3">
        <v>306</v>
      </c>
      <c r="J89" s="3">
        <v>500</v>
      </c>
      <c r="K89" s="4">
        <f>I89/J89</f>
        <v>0.61199999999999999</v>
      </c>
      <c r="L89" s="6">
        <f>100%-K89</f>
        <v>0.38800000000000001</v>
      </c>
      <c r="M89" s="7">
        <f>K89*100</f>
        <v>61.199999999999996</v>
      </c>
      <c r="N89" s="7" t="str" cm="1">
        <f t="array" ref="N89">_xlfn.IFS(
M89&gt;=80,"Outstanding",
M89&gt;=65,"Good",
M89&gt;=50,"Needs Improvement",
TRUE,"Critical"
)</f>
        <v>Needs Improvement</v>
      </c>
      <c r="O89" s="10">
        <f>_xlfn.RANK.EQ(M89,$M:$M,0)</f>
        <v>45</v>
      </c>
      <c r="P89">
        <f>Table2[[#This Row],[Total Sales]]/Table2[[#This Row],[Target]]*100</f>
        <v>61.199999999999996</v>
      </c>
    </row>
    <row r="90" spans="1:16" x14ac:dyDescent="0.3">
      <c r="A90" s="9" t="s">
        <v>196</v>
      </c>
      <c r="B90" s="1" t="s">
        <v>197</v>
      </c>
      <c r="C90" s="1" t="s">
        <v>14</v>
      </c>
      <c r="D90" s="2">
        <v>72</v>
      </c>
      <c r="E90" s="2">
        <v>82</v>
      </c>
      <c r="F90" s="2">
        <v>58</v>
      </c>
      <c r="G90" s="2">
        <v>36</v>
      </c>
      <c r="H90" s="2">
        <v>33</v>
      </c>
      <c r="I90" s="3">
        <v>281</v>
      </c>
      <c r="J90" s="3">
        <v>500</v>
      </c>
      <c r="K90" s="4">
        <f>I90/J90</f>
        <v>0.56200000000000006</v>
      </c>
      <c r="L90" s="6">
        <f>100%-K90</f>
        <v>0.43799999999999994</v>
      </c>
      <c r="M90" s="7">
        <f>K90*100</f>
        <v>56.2</v>
      </c>
      <c r="N90" s="7" t="str" cm="1">
        <f t="array" ref="N90">_xlfn.IFS(
M90&gt;=80,"Outstanding",
M90&gt;=65,"Good",
M90&gt;=50,"Needs Improvement",
TRUE,"Critical"
)</f>
        <v>Needs Improvement</v>
      </c>
      <c r="O90" s="10">
        <f>_xlfn.RANK.EQ(M90,$M:$M,0)</f>
        <v>72</v>
      </c>
      <c r="P90">
        <f>Table2[[#This Row],[Total Sales]]/Table2[[#This Row],[Target]]*100</f>
        <v>56.2</v>
      </c>
    </row>
    <row r="91" spans="1:16" x14ac:dyDescent="0.3">
      <c r="A91" s="9" t="s">
        <v>198</v>
      </c>
      <c r="B91" s="1" t="s">
        <v>199</v>
      </c>
      <c r="C91" s="1" t="s">
        <v>17</v>
      </c>
      <c r="D91" s="2">
        <v>11</v>
      </c>
      <c r="E91" s="2">
        <v>69</v>
      </c>
      <c r="F91" s="2">
        <v>49</v>
      </c>
      <c r="G91" s="2">
        <v>90</v>
      </c>
      <c r="H91" s="2">
        <v>99</v>
      </c>
      <c r="I91" s="3">
        <v>318</v>
      </c>
      <c r="J91" s="3">
        <v>500</v>
      </c>
      <c r="K91" s="4">
        <f>I91/J91</f>
        <v>0.63600000000000001</v>
      </c>
      <c r="L91" s="6">
        <f>100%-K91</f>
        <v>0.36399999999999999</v>
      </c>
      <c r="M91" s="7">
        <f>K91*100</f>
        <v>63.6</v>
      </c>
      <c r="N91" s="7" t="str" cm="1">
        <f t="array" ref="N91">_xlfn.IFS(
M91&gt;=80,"Outstanding",
M91&gt;=65,"Good",
M91&gt;=50,"Needs Improvement",
TRUE,"Critical"
)</f>
        <v>Needs Improvement</v>
      </c>
      <c r="O91" s="10">
        <f>_xlfn.RANK.EQ(M91,$M:$M,0)</f>
        <v>36</v>
      </c>
      <c r="P91">
        <f>Table2[[#This Row],[Total Sales]]/Table2[[#This Row],[Target]]*100</f>
        <v>63.6</v>
      </c>
    </row>
    <row r="92" spans="1:16" x14ac:dyDescent="0.3">
      <c r="A92" s="9" t="s">
        <v>200</v>
      </c>
      <c r="B92" s="1" t="s">
        <v>201</v>
      </c>
      <c r="C92" s="1" t="s">
        <v>20</v>
      </c>
      <c r="D92" s="2">
        <v>80</v>
      </c>
      <c r="E92" s="2">
        <v>73</v>
      </c>
      <c r="F92" s="2">
        <v>21</v>
      </c>
      <c r="G92" s="2">
        <v>72</v>
      </c>
      <c r="H92" s="2">
        <v>54</v>
      </c>
      <c r="I92" s="3">
        <v>300</v>
      </c>
      <c r="J92" s="3">
        <v>500</v>
      </c>
      <c r="K92" s="4">
        <f>I92/J92</f>
        <v>0.6</v>
      </c>
      <c r="L92" s="6">
        <f>100%-K92</f>
        <v>0.4</v>
      </c>
      <c r="M92" s="7">
        <f>K92*100</f>
        <v>60</v>
      </c>
      <c r="N92" s="7" t="str" cm="1">
        <f t="array" ref="N92">_xlfn.IFS(
M92&gt;=80,"Outstanding",
M92&gt;=65,"Good",
M92&gt;=50,"Needs Improvement",
TRUE,"Critical"
)</f>
        <v>Needs Improvement</v>
      </c>
      <c r="O92" s="10">
        <f>_xlfn.RANK.EQ(M92,$M:$M,0)</f>
        <v>52</v>
      </c>
      <c r="P92">
        <f>Table2[[#This Row],[Total Sales]]/Table2[[#This Row],[Target]]*100</f>
        <v>60</v>
      </c>
    </row>
    <row r="93" spans="1:16" x14ac:dyDescent="0.3">
      <c r="A93" s="9" t="s">
        <v>202</v>
      </c>
      <c r="B93" s="1" t="s">
        <v>203</v>
      </c>
      <c r="C93" s="1" t="s">
        <v>23</v>
      </c>
      <c r="D93" s="2">
        <v>93</v>
      </c>
      <c r="E93" s="2">
        <v>42</v>
      </c>
      <c r="F93" s="2">
        <v>38</v>
      </c>
      <c r="G93" s="2">
        <v>98</v>
      </c>
      <c r="H93" s="2">
        <v>10</v>
      </c>
      <c r="I93" s="3">
        <v>281</v>
      </c>
      <c r="J93" s="3">
        <v>500</v>
      </c>
      <c r="K93" s="4">
        <f>I93/J93</f>
        <v>0.56200000000000006</v>
      </c>
      <c r="L93" s="6">
        <f>100%-K93</f>
        <v>0.43799999999999994</v>
      </c>
      <c r="M93" s="7">
        <f>K93*100</f>
        <v>56.2</v>
      </c>
      <c r="N93" s="7" t="str" cm="1">
        <f t="array" ref="N93">_xlfn.IFS(
M93&gt;=80,"Outstanding",
M93&gt;=65,"Good",
M93&gt;=50,"Needs Improvement",
TRUE,"Critical"
)</f>
        <v>Needs Improvement</v>
      </c>
      <c r="O93" s="10">
        <f>_xlfn.RANK.EQ(M93,$M:$M,0)</f>
        <v>72</v>
      </c>
      <c r="P93">
        <f>Table2[[#This Row],[Total Sales]]/Table2[[#This Row],[Target]]*100</f>
        <v>56.2</v>
      </c>
    </row>
    <row r="94" spans="1:16" x14ac:dyDescent="0.3">
      <c r="A94" s="9" t="s">
        <v>204</v>
      </c>
      <c r="B94" s="1" t="s">
        <v>205</v>
      </c>
      <c r="C94" s="1" t="s">
        <v>26</v>
      </c>
      <c r="D94" s="2">
        <v>18</v>
      </c>
      <c r="E94" s="2">
        <v>80</v>
      </c>
      <c r="F94" s="2">
        <v>20</v>
      </c>
      <c r="G94" s="2">
        <v>32</v>
      </c>
      <c r="H94" s="2">
        <v>95</v>
      </c>
      <c r="I94" s="3">
        <v>245</v>
      </c>
      <c r="J94" s="3">
        <v>500</v>
      </c>
      <c r="K94" s="4">
        <f>I94/J94</f>
        <v>0.49</v>
      </c>
      <c r="L94" s="6">
        <f>100%-K94</f>
        <v>0.51</v>
      </c>
      <c r="M94" s="7">
        <f>K94*100</f>
        <v>49</v>
      </c>
      <c r="N94" s="7" t="str" cm="1">
        <f t="array" ref="N94">_xlfn.IFS(
M94&gt;=80,"Outstanding",
M94&gt;=65,"Good",
M94&gt;=50,"Needs Improvement",
TRUE,"Critical"
)</f>
        <v>Critical</v>
      </c>
      <c r="O94" s="10">
        <f>_xlfn.RANK.EQ(M94,$M:$M,0)</f>
        <v>94</v>
      </c>
      <c r="P94">
        <f>Table2[[#This Row],[Total Sales]]/Table2[[#This Row],[Target]]*100</f>
        <v>49</v>
      </c>
    </row>
    <row r="95" spans="1:16" x14ac:dyDescent="0.3">
      <c r="A95" s="9" t="s">
        <v>206</v>
      </c>
      <c r="B95" s="1" t="s">
        <v>207</v>
      </c>
      <c r="C95" s="1" t="s">
        <v>29</v>
      </c>
      <c r="D95" s="2">
        <v>96</v>
      </c>
      <c r="E95" s="2">
        <v>14</v>
      </c>
      <c r="F95" s="2">
        <v>20</v>
      </c>
      <c r="G95" s="2">
        <v>31</v>
      </c>
      <c r="H95" s="2">
        <v>44</v>
      </c>
      <c r="I95" s="3">
        <v>205</v>
      </c>
      <c r="J95" s="3">
        <v>500</v>
      </c>
      <c r="K95" s="4">
        <f>I95/J95</f>
        <v>0.41</v>
      </c>
      <c r="L95" s="6">
        <f>100%-K95</f>
        <v>0.59000000000000008</v>
      </c>
      <c r="M95" s="7">
        <f>K95*100</f>
        <v>41</v>
      </c>
      <c r="N95" s="7" t="str" cm="1">
        <f t="array" ref="N95">_xlfn.IFS(
M95&gt;=80,"Outstanding",
M95&gt;=65,"Good",
M95&gt;=50,"Needs Improvement",
TRUE,"Critical"
)</f>
        <v>Critical</v>
      </c>
      <c r="O95" s="10">
        <f>_xlfn.RANK.EQ(M95,$M:$M,0)</f>
        <v>127</v>
      </c>
      <c r="P95">
        <f>Table2[[#This Row],[Total Sales]]/Table2[[#This Row],[Target]]*100</f>
        <v>41</v>
      </c>
    </row>
    <row r="96" spans="1:16" x14ac:dyDescent="0.3">
      <c r="A96" s="9" t="s">
        <v>208</v>
      </c>
      <c r="B96" s="1" t="s">
        <v>209</v>
      </c>
      <c r="C96" s="1" t="s">
        <v>32</v>
      </c>
      <c r="D96" s="2">
        <v>37</v>
      </c>
      <c r="E96" s="2">
        <v>60</v>
      </c>
      <c r="F96" s="2">
        <v>50</v>
      </c>
      <c r="G96" s="2">
        <v>68</v>
      </c>
      <c r="H96" s="2">
        <v>19</v>
      </c>
      <c r="I96" s="3">
        <v>234</v>
      </c>
      <c r="J96" s="3">
        <v>500</v>
      </c>
      <c r="K96" s="4">
        <f>I96/J96</f>
        <v>0.46800000000000003</v>
      </c>
      <c r="L96" s="6">
        <f>100%-K96</f>
        <v>0.53200000000000003</v>
      </c>
      <c r="M96" s="7">
        <f>K96*100</f>
        <v>46.800000000000004</v>
      </c>
      <c r="N96" s="7" t="str" cm="1">
        <f t="array" ref="N96">_xlfn.IFS(
M96&gt;=80,"Outstanding",
M96&gt;=65,"Good",
M96&gt;=50,"Needs Improvement",
TRUE,"Critical"
)</f>
        <v>Critical</v>
      </c>
      <c r="O96" s="10">
        <f>_xlfn.RANK.EQ(M96,$M:$M,0)</f>
        <v>101</v>
      </c>
      <c r="P96">
        <f>Table2[[#This Row],[Total Sales]]/Table2[[#This Row],[Target]]*100</f>
        <v>46.800000000000004</v>
      </c>
    </row>
    <row r="97" spans="1:16" x14ac:dyDescent="0.3">
      <c r="A97" s="9" t="s">
        <v>210</v>
      </c>
      <c r="B97" s="1" t="s">
        <v>211</v>
      </c>
      <c r="C97" s="1" t="s">
        <v>35</v>
      </c>
      <c r="D97" s="2">
        <v>35</v>
      </c>
      <c r="E97" s="2">
        <v>79</v>
      </c>
      <c r="F97" s="2">
        <v>17</v>
      </c>
      <c r="G97" s="2">
        <v>85</v>
      </c>
      <c r="H97" s="2">
        <v>16</v>
      </c>
      <c r="I97" s="3">
        <v>232</v>
      </c>
      <c r="J97" s="3">
        <v>500</v>
      </c>
      <c r="K97" s="4">
        <f>I97/J97</f>
        <v>0.46400000000000002</v>
      </c>
      <c r="L97" s="6">
        <f>100%-K97</f>
        <v>0.53600000000000003</v>
      </c>
      <c r="M97" s="7">
        <f>K97*100</f>
        <v>46.400000000000006</v>
      </c>
      <c r="N97" s="7" t="str" cm="1">
        <f t="array" ref="N97">_xlfn.IFS(
M97&gt;=80,"Outstanding",
M97&gt;=65,"Good",
M97&gt;=50,"Needs Improvement",
TRUE,"Critical"
)</f>
        <v>Critical</v>
      </c>
      <c r="O97" s="10">
        <f>_xlfn.RANK.EQ(M97,$M:$M,0)</f>
        <v>103</v>
      </c>
      <c r="P97">
        <f>Table2[[#This Row],[Total Sales]]/Table2[[#This Row],[Target]]*100</f>
        <v>46.400000000000006</v>
      </c>
    </row>
    <row r="98" spans="1:16" x14ac:dyDescent="0.3">
      <c r="A98" s="9" t="s">
        <v>212</v>
      </c>
      <c r="B98" s="1" t="s">
        <v>213</v>
      </c>
      <c r="C98" s="1" t="s">
        <v>14</v>
      </c>
      <c r="D98" s="2">
        <v>31</v>
      </c>
      <c r="E98" s="2">
        <v>48</v>
      </c>
      <c r="F98" s="2">
        <v>56</v>
      </c>
      <c r="G98" s="2">
        <v>85</v>
      </c>
      <c r="H98" s="2">
        <v>25</v>
      </c>
      <c r="I98" s="3">
        <v>245</v>
      </c>
      <c r="J98" s="3">
        <v>500</v>
      </c>
      <c r="K98" s="4">
        <f>I98/J98</f>
        <v>0.49</v>
      </c>
      <c r="L98" s="6">
        <f>100%-K98</f>
        <v>0.51</v>
      </c>
      <c r="M98" s="7">
        <f>K98*100</f>
        <v>49</v>
      </c>
      <c r="N98" s="7" t="str" cm="1">
        <f t="array" ref="N98">_xlfn.IFS(
M98&gt;=80,"Outstanding",
M98&gt;=65,"Good",
M98&gt;=50,"Needs Improvement",
TRUE,"Critical"
)</f>
        <v>Critical</v>
      </c>
      <c r="O98" s="10">
        <f>_xlfn.RANK.EQ(M98,$M:$M,0)</f>
        <v>94</v>
      </c>
      <c r="P98">
        <f>Table2[[#This Row],[Total Sales]]/Table2[[#This Row],[Target]]*100</f>
        <v>49</v>
      </c>
    </row>
    <row r="99" spans="1:16" x14ac:dyDescent="0.3">
      <c r="A99" s="9" t="s">
        <v>214</v>
      </c>
      <c r="B99" s="1" t="s">
        <v>215</v>
      </c>
      <c r="C99" s="1" t="s">
        <v>17</v>
      </c>
      <c r="D99" s="2">
        <v>23</v>
      </c>
      <c r="E99" s="2">
        <v>83</v>
      </c>
      <c r="F99" s="2">
        <v>86</v>
      </c>
      <c r="G99" s="2">
        <v>69</v>
      </c>
      <c r="H99" s="2">
        <v>25</v>
      </c>
      <c r="I99" s="3">
        <v>286</v>
      </c>
      <c r="J99" s="3">
        <v>500</v>
      </c>
      <c r="K99" s="4">
        <f>I99/J99</f>
        <v>0.57199999999999995</v>
      </c>
      <c r="L99" s="6">
        <f>100%-K99</f>
        <v>0.42800000000000005</v>
      </c>
      <c r="M99" s="7">
        <f>K99*100</f>
        <v>57.199999999999996</v>
      </c>
      <c r="N99" s="7" t="str" cm="1">
        <f t="array" ref="N99">_xlfn.IFS(
M99&gt;=80,"Outstanding",
M99&gt;=65,"Good",
M99&gt;=50,"Needs Improvement",
TRUE,"Critical"
)</f>
        <v>Needs Improvement</v>
      </c>
      <c r="O99" s="10">
        <f>_xlfn.RANK.EQ(M99,$M:$M,0)</f>
        <v>64</v>
      </c>
      <c r="P99">
        <f>Table2[[#This Row],[Total Sales]]/Table2[[#This Row],[Target]]*100</f>
        <v>57.199999999999996</v>
      </c>
    </row>
    <row r="100" spans="1:16" x14ac:dyDescent="0.3">
      <c r="A100" s="9" t="s">
        <v>216</v>
      </c>
      <c r="B100" s="1" t="s">
        <v>217</v>
      </c>
      <c r="C100" s="1" t="s">
        <v>20</v>
      </c>
      <c r="D100" s="2">
        <v>17</v>
      </c>
      <c r="E100" s="2">
        <v>97</v>
      </c>
      <c r="F100" s="2">
        <v>81</v>
      </c>
      <c r="G100" s="2">
        <v>32</v>
      </c>
      <c r="H100" s="2">
        <v>76</v>
      </c>
      <c r="I100" s="3">
        <v>303</v>
      </c>
      <c r="J100" s="3">
        <v>500</v>
      </c>
      <c r="K100" s="4">
        <f>I100/J100</f>
        <v>0.60599999999999998</v>
      </c>
      <c r="L100" s="6">
        <f>100%-K100</f>
        <v>0.39400000000000002</v>
      </c>
      <c r="M100" s="7">
        <f>K100*100</f>
        <v>60.6</v>
      </c>
      <c r="N100" s="7" t="str" cm="1">
        <f t="array" ref="N100">_xlfn.IFS(
M100&gt;=80,"Outstanding",
M100&gt;=65,"Good",
M100&gt;=50,"Needs Improvement",
TRUE,"Critical"
)</f>
        <v>Needs Improvement</v>
      </c>
      <c r="O100" s="10">
        <f>_xlfn.RANK.EQ(M100,$M:$M,0)</f>
        <v>49</v>
      </c>
      <c r="P100">
        <f>Table2[[#This Row],[Total Sales]]/Table2[[#This Row],[Target]]*100</f>
        <v>60.6</v>
      </c>
    </row>
    <row r="101" spans="1:16" x14ac:dyDescent="0.3">
      <c r="A101" s="9" t="s">
        <v>218</v>
      </c>
      <c r="B101" s="1" t="s">
        <v>219</v>
      </c>
      <c r="C101" s="1" t="s">
        <v>23</v>
      </c>
      <c r="D101" s="2">
        <v>92</v>
      </c>
      <c r="E101" s="2">
        <v>45</v>
      </c>
      <c r="F101" s="2">
        <v>43</v>
      </c>
      <c r="G101" s="2">
        <v>91</v>
      </c>
      <c r="H101" s="2">
        <v>47</v>
      </c>
      <c r="I101" s="3">
        <v>318</v>
      </c>
      <c r="J101" s="3">
        <v>500</v>
      </c>
      <c r="K101" s="4">
        <f>I101/J101</f>
        <v>0.63600000000000001</v>
      </c>
      <c r="L101" s="6">
        <f>100%-K101</f>
        <v>0.36399999999999999</v>
      </c>
      <c r="M101" s="7">
        <f>K101*100</f>
        <v>63.6</v>
      </c>
      <c r="N101" s="7" t="str" cm="1">
        <f t="array" ref="N101">_xlfn.IFS(
M101&gt;=80,"Outstanding",
M101&gt;=65,"Good",
M101&gt;=50,"Needs Improvement",
TRUE,"Critical"
)</f>
        <v>Needs Improvement</v>
      </c>
      <c r="O101" s="10">
        <f>_xlfn.RANK.EQ(M101,$M:$M,0)</f>
        <v>36</v>
      </c>
      <c r="P101">
        <f>Table2[[#This Row],[Total Sales]]/Table2[[#This Row],[Target]]*100</f>
        <v>63.6</v>
      </c>
    </row>
    <row r="102" spans="1:16" x14ac:dyDescent="0.3">
      <c r="A102" s="9" t="s">
        <v>220</v>
      </c>
      <c r="B102" s="1" t="s">
        <v>221</v>
      </c>
      <c r="C102" s="1" t="s">
        <v>26</v>
      </c>
      <c r="D102" s="2">
        <v>49</v>
      </c>
      <c r="E102" s="2">
        <v>77</v>
      </c>
      <c r="F102" s="2">
        <v>18</v>
      </c>
      <c r="G102" s="2">
        <v>69</v>
      </c>
      <c r="H102" s="2">
        <v>55</v>
      </c>
      <c r="I102" s="3">
        <v>268</v>
      </c>
      <c r="J102" s="3">
        <v>500</v>
      </c>
      <c r="K102" s="4">
        <f>I102/J102</f>
        <v>0.53600000000000003</v>
      </c>
      <c r="L102" s="6">
        <f>100%-K102</f>
        <v>0.46399999999999997</v>
      </c>
      <c r="M102" s="7">
        <f>K102*100</f>
        <v>53.6</v>
      </c>
      <c r="N102" s="7" t="str" cm="1">
        <f t="array" ref="N102">_xlfn.IFS(
M102&gt;=80,"Outstanding",
M102&gt;=65,"Good",
M102&gt;=50,"Needs Improvement",
TRUE,"Critical"
)</f>
        <v>Needs Improvement</v>
      </c>
      <c r="O102" s="10">
        <f>_xlfn.RANK.EQ(M102,$M:$M,0)</f>
        <v>81</v>
      </c>
      <c r="P102">
        <f>Table2[[#This Row],[Total Sales]]/Table2[[#This Row],[Target]]*100</f>
        <v>53.6</v>
      </c>
    </row>
    <row r="103" spans="1:16" x14ac:dyDescent="0.3">
      <c r="A103" s="9" t="s">
        <v>222</v>
      </c>
      <c r="B103" s="1" t="s">
        <v>223</v>
      </c>
      <c r="C103" s="1" t="s">
        <v>29</v>
      </c>
      <c r="D103" s="2">
        <v>81</v>
      </c>
      <c r="E103" s="2">
        <v>88</v>
      </c>
      <c r="F103" s="2">
        <v>19</v>
      </c>
      <c r="G103" s="2">
        <v>95</v>
      </c>
      <c r="H103" s="2">
        <v>39</v>
      </c>
      <c r="I103" s="3">
        <v>322</v>
      </c>
      <c r="J103" s="3">
        <v>500</v>
      </c>
      <c r="K103" s="4">
        <f>I103/J103</f>
        <v>0.64400000000000002</v>
      </c>
      <c r="L103" s="6">
        <f>100%-K103</f>
        <v>0.35599999999999998</v>
      </c>
      <c r="M103" s="7">
        <f>K103*100</f>
        <v>64.400000000000006</v>
      </c>
      <c r="N103" s="7" t="str" cm="1">
        <f t="array" ref="N103">_xlfn.IFS(
M103&gt;=80,"Outstanding",
M103&gt;=65,"Good",
M103&gt;=50,"Needs Improvement",
TRUE,"Critical"
)</f>
        <v>Needs Improvement</v>
      </c>
      <c r="O103" s="10">
        <f>_xlfn.RANK.EQ(M103,$M:$M,0)</f>
        <v>32</v>
      </c>
      <c r="P103">
        <f>Table2[[#This Row],[Total Sales]]/Table2[[#This Row],[Target]]*100</f>
        <v>64.400000000000006</v>
      </c>
    </row>
    <row r="104" spans="1:16" x14ac:dyDescent="0.3">
      <c r="A104" s="9" t="s">
        <v>224</v>
      </c>
      <c r="B104" s="1" t="s">
        <v>225</v>
      </c>
      <c r="C104" s="1" t="s">
        <v>32</v>
      </c>
      <c r="D104" s="2">
        <v>55</v>
      </c>
      <c r="E104" s="2">
        <v>14</v>
      </c>
      <c r="F104" s="2">
        <v>41</v>
      </c>
      <c r="G104" s="2">
        <v>40</v>
      </c>
      <c r="H104" s="2">
        <v>70</v>
      </c>
      <c r="I104" s="3">
        <v>220</v>
      </c>
      <c r="J104" s="3">
        <v>500</v>
      </c>
      <c r="K104" s="4">
        <f>I104/J104</f>
        <v>0.44</v>
      </c>
      <c r="L104" s="6">
        <f>100%-K104</f>
        <v>0.56000000000000005</v>
      </c>
      <c r="M104" s="7">
        <f>K104*100</f>
        <v>44</v>
      </c>
      <c r="N104" s="7" t="str" cm="1">
        <f t="array" ref="N104">_xlfn.IFS(
M104&gt;=80,"Outstanding",
M104&gt;=65,"Good",
M104&gt;=50,"Needs Improvement",
TRUE,"Critical"
)</f>
        <v>Critical</v>
      </c>
      <c r="O104" s="10">
        <f>_xlfn.RANK.EQ(M104,$M:$M,0)</f>
        <v>111</v>
      </c>
      <c r="P104">
        <f>Table2[[#This Row],[Total Sales]]/Table2[[#This Row],[Target]]*100</f>
        <v>44</v>
      </c>
    </row>
    <row r="105" spans="1:16" x14ac:dyDescent="0.3">
      <c r="A105" s="9" t="s">
        <v>226</v>
      </c>
      <c r="B105" s="1" t="s">
        <v>227</v>
      </c>
      <c r="C105" s="1" t="s">
        <v>35</v>
      </c>
      <c r="D105" s="2">
        <v>86</v>
      </c>
      <c r="E105" s="2">
        <v>13</v>
      </c>
      <c r="F105" s="2">
        <v>99</v>
      </c>
      <c r="G105" s="2">
        <v>25</v>
      </c>
      <c r="H105" s="2">
        <v>83</v>
      </c>
      <c r="I105" s="3">
        <v>306</v>
      </c>
      <c r="J105" s="3">
        <v>500</v>
      </c>
      <c r="K105" s="4">
        <f>I105/J105</f>
        <v>0.61199999999999999</v>
      </c>
      <c r="L105" s="6">
        <f>100%-K105</f>
        <v>0.38800000000000001</v>
      </c>
      <c r="M105" s="7">
        <f>K105*100</f>
        <v>61.199999999999996</v>
      </c>
      <c r="N105" s="7" t="str" cm="1">
        <f t="array" ref="N105">_xlfn.IFS(
M105&gt;=80,"Outstanding",
M105&gt;=65,"Good",
M105&gt;=50,"Needs Improvement",
TRUE,"Critical"
)</f>
        <v>Needs Improvement</v>
      </c>
      <c r="O105" s="10">
        <f>_xlfn.RANK.EQ(M105,$M:$M,0)</f>
        <v>45</v>
      </c>
      <c r="P105">
        <f>Table2[[#This Row],[Total Sales]]/Table2[[#This Row],[Target]]*100</f>
        <v>61.199999999999996</v>
      </c>
    </row>
    <row r="106" spans="1:16" x14ac:dyDescent="0.3">
      <c r="A106" s="9" t="s">
        <v>228</v>
      </c>
      <c r="B106" s="1" t="s">
        <v>229</v>
      </c>
      <c r="C106" s="1" t="s">
        <v>14</v>
      </c>
      <c r="D106" s="2">
        <v>88</v>
      </c>
      <c r="E106" s="2">
        <v>96</v>
      </c>
      <c r="F106" s="2">
        <v>16</v>
      </c>
      <c r="G106" s="2">
        <v>65</v>
      </c>
      <c r="H106" s="2">
        <v>86</v>
      </c>
      <c r="I106" s="3">
        <v>351</v>
      </c>
      <c r="J106" s="3">
        <v>500</v>
      </c>
      <c r="K106" s="4">
        <f>I106/J106</f>
        <v>0.70199999999999996</v>
      </c>
      <c r="L106" s="6">
        <f>100%-K106</f>
        <v>0.29800000000000004</v>
      </c>
      <c r="M106" s="7">
        <f>K106*100</f>
        <v>70.199999999999989</v>
      </c>
      <c r="N106" s="7" t="str" cm="1">
        <f t="array" ref="N106">_xlfn.IFS(
M106&gt;=80,"Outstanding",
M106&gt;=65,"Good",
M106&gt;=50,"Needs Improvement",
TRUE,"Critical"
)</f>
        <v>Good</v>
      </c>
      <c r="O106" s="10">
        <f>_xlfn.RANK.EQ(M106,$M:$M,0)</f>
        <v>15</v>
      </c>
      <c r="P106">
        <f>Table2[[#This Row],[Total Sales]]/Table2[[#This Row],[Target]]*100</f>
        <v>70.199999999999989</v>
      </c>
    </row>
    <row r="107" spans="1:16" x14ac:dyDescent="0.3">
      <c r="A107" s="9" t="s">
        <v>230</v>
      </c>
      <c r="B107" s="1" t="s">
        <v>231</v>
      </c>
      <c r="C107" s="1" t="s">
        <v>17</v>
      </c>
      <c r="D107" s="2">
        <v>61</v>
      </c>
      <c r="E107" s="2">
        <v>73</v>
      </c>
      <c r="F107" s="2">
        <v>34</v>
      </c>
      <c r="G107" s="2">
        <v>30</v>
      </c>
      <c r="H107" s="2">
        <v>30</v>
      </c>
      <c r="I107" s="3">
        <v>228</v>
      </c>
      <c r="J107" s="3">
        <v>500</v>
      </c>
      <c r="K107" s="4">
        <f>I107/J107</f>
        <v>0.45600000000000002</v>
      </c>
      <c r="L107" s="6">
        <f>100%-K107</f>
        <v>0.54400000000000004</v>
      </c>
      <c r="M107" s="7">
        <f>K107*100</f>
        <v>45.6</v>
      </c>
      <c r="N107" s="7" t="str" cm="1">
        <f t="array" ref="N107">_xlfn.IFS(
M107&gt;=80,"Outstanding",
M107&gt;=65,"Good",
M107&gt;=50,"Needs Improvement",
TRUE,"Critical"
)</f>
        <v>Critical</v>
      </c>
      <c r="O107" s="10">
        <f>_xlfn.RANK.EQ(M107,$M:$M,0)</f>
        <v>107</v>
      </c>
      <c r="P107">
        <f>Table2[[#This Row],[Total Sales]]/Table2[[#This Row],[Target]]*100</f>
        <v>45.6</v>
      </c>
    </row>
    <row r="108" spans="1:16" x14ac:dyDescent="0.3">
      <c r="A108" s="9" t="s">
        <v>232</v>
      </c>
      <c r="B108" s="1" t="s">
        <v>233</v>
      </c>
      <c r="C108" s="1" t="s">
        <v>20</v>
      </c>
      <c r="D108" s="2">
        <v>61</v>
      </c>
      <c r="E108" s="2">
        <v>91</v>
      </c>
      <c r="F108" s="2">
        <v>53</v>
      </c>
      <c r="G108" s="2">
        <v>78</v>
      </c>
      <c r="H108" s="2">
        <v>91</v>
      </c>
      <c r="I108" s="3">
        <v>374</v>
      </c>
      <c r="J108" s="3">
        <v>500</v>
      </c>
      <c r="K108" s="4">
        <f>I108/J108</f>
        <v>0.748</v>
      </c>
      <c r="L108" s="6">
        <f>100%-K108</f>
        <v>0.252</v>
      </c>
      <c r="M108" s="7">
        <f>K108*100</f>
        <v>74.8</v>
      </c>
      <c r="N108" s="7" t="str" cm="1">
        <f t="array" ref="N108">_xlfn.IFS(
M108&gt;=80,"Outstanding",
M108&gt;=65,"Good",
M108&gt;=50,"Needs Improvement",
TRUE,"Critical"
)</f>
        <v>Good</v>
      </c>
      <c r="O108" s="10">
        <f>_xlfn.RANK.EQ(M108,$M:$M,0)</f>
        <v>7</v>
      </c>
      <c r="P108">
        <f>Table2[[#This Row],[Total Sales]]/Table2[[#This Row],[Target]]*100</f>
        <v>74.8</v>
      </c>
    </row>
    <row r="109" spans="1:16" x14ac:dyDescent="0.3">
      <c r="A109" s="9" t="s">
        <v>234</v>
      </c>
      <c r="B109" s="1" t="s">
        <v>235</v>
      </c>
      <c r="C109" s="1" t="s">
        <v>23</v>
      </c>
      <c r="D109" s="2">
        <v>75</v>
      </c>
      <c r="E109" s="2">
        <v>53</v>
      </c>
      <c r="F109" s="2">
        <v>27</v>
      </c>
      <c r="G109" s="2">
        <v>26</v>
      </c>
      <c r="H109" s="2">
        <v>30</v>
      </c>
      <c r="I109" s="3">
        <v>211</v>
      </c>
      <c r="J109" s="3">
        <v>500</v>
      </c>
      <c r="K109" s="4">
        <f>I109/J109</f>
        <v>0.42199999999999999</v>
      </c>
      <c r="L109" s="6">
        <f>100%-K109</f>
        <v>0.57800000000000007</v>
      </c>
      <c r="M109" s="7">
        <f>K109*100</f>
        <v>42.199999999999996</v>
      </c>
      <c r="N109" s="7" t="str" cm="1">
        <f t="array" ref="N109">_xlfn.IFS(
M109&gt;=80,"Outstanding",
M109&gt;=65,"Good",
M109&gt;=50,"Needs Improvement",
TRUE,"Critical"
)</f>
        <v>Critical</v>
      </c>
      <c r="O109" s="10">
        <f>_xlfn.RANK.EQ(M109,$M:$M,0)</f>
        <v>121</v>
      </c>
      <c r="P109">
        <f>Table2[[#This Row],[Total Sales]]/Table2[[#This Row],[Target]]*100</f>
        <v>42.199999999999996</v>
      </c>
    </row>
    <row r="110" spans="1:16" x14ac:dyDescent="0.3">
      <c r="A110" s="9" t="s">
        <v>236</v>
      </c>
      <c r="B110" s="1" t="s">
        <v>237</v>
      </c>
      <c r="C110" s="1" t="s">
        <v>26</v>
      </c>
      <c r="D110" s="2">
        <v>24</v>
      </c>
      <c r="E110" s="2">
        <v>31</v>
      </c>
      <c r="F110" s="2">
        <v>41</v>
      </c>
      <c r="G110" s="2">
        <v>57</v>
      </c>
      <c r="H110" s="2">
        <v>83</v>
      </c>
      <c r="I110" s="3">
        <v>236</v>
      </c>
      <c r="J110" s="3">
        <v>500</v>
      </c>
      <c r="K110" s="4">
        <f>I110/J110</f>
        <v>0.47199999999999998</v>
      </c>
      <c r="L110" s="6">
        <f>100%-K110</f>
        <v>0.52800000000000002</v>
      </c>
      <c r="M110" s="7">
        <f>K110*100</f>
        <v>47.199999999999996</v>
      </c>
      <c r="N110" s="7" t="str" cm="1">
        <f t="array" ref="N110">_xlfn.IFS(
M110&gt;=80,"Outstanding",
M110&gt;=65,"Good",
M110&gt;=50,"Needs Improvement",
TRUE,"Critical"
)</f>
        <v>Critical</v>
      </c>
      <c r="O110" s="10">
        <f>_xlfn.RANK.EQ(M110,$M:$M,0)</f>
        <v>100</v>
      </c>
      <c r="P110">
        <f>Table2[[#This Row],[Total Sales]]/Table2[[#This Row],[Target]]*100</f>
        <v>47.199999999999996</v>
      </c>
    </row>
    <row r="111" spans="1:16" x14ac:dyDescent="0.3">
      <c r="A111" s="9" t="s">
        <v>238</v>
      </c>
      <c r="B111" s="1" t="s">
        <v>239</v>
      </c>
      <c r="C111" s="1" t="s">
        <v>29</v>
      </c>
      <c r="D111" s="2">
        <v>83</v>
      </c>
      <c r="E111" s="2">
        <v>62</v>
      </c>
      <c r="F111" s="2">
        <v>32</v>
      </c>
      <c r="G111" s="2">
        <v>83</v>
      </c>
      <c r="H111" s="2">
        <v>95</v>
      </c>
      <c r="I111" s="3">
        <v>355</v>
      </c>
      <c r="J111" s="3">
        <v>500</v>
      </c>
      <c r="K111" s="4">
        <f>I111/J111</f>
        <v>0.71</v>
      </c>
      <c r="L111" s="6">
        <f>100%-K111</f>
        <v>0.29000000000000004</v>
      </c>
      <c r="M111" s="7">
        <f>K111*100</f>
        <v>71</v>
      </c>
      <c r="N111" s="7" t="str" cm="1">
        <f t="array" ref="N111">_xlfn.IFS(
M111&gt;=80,"Outstanding",
M111&gt;=65,"Good",
M111&gt;=50,"Needs Improvement",
TRUE,"Critical"
)</f>
        <v>Good</v>
      </c>
      <c r="O111" s="10">
        <f>_xlfn.RANK.EQ(M111,$M:$M,0)</f>
        <v>12</v>
      </c>
      <c r="P111">
        <f>Table2[[#This Row],[Total Sales]]/Table2[[#This Row],[Target]]*100</f>
        <v>71</v>
      </c>
    </row>
    <row r="112" spans="1:16" x14ac:dyDescent="0.3">
      <c r="A112" s="9" t="s">
        <v>240</v>
      </c>
      <c r="B112" s="1" t="s">
        <v>241</v>
      </c>
      <c r="C112" s="1" t="s">
        <v>32</v>
      </c>
      <c r="D112" s="2">
        <v>39</v>
      </c>
      <c r="E112" s="2">
        <v>52</v>
      </c>
      <c r="F112" s="2">
        <v>72</v>
      </c>
      <c r="G112" s="2">
        <v>99</v>
      </c>
      <c r="H112" s="2">
        <v>58</v>
      </c>
      <c r="I112" s="3">
        <v>320</v>
      </c>
      <c r="J112" s="3">
        <v>500</v>
      </c>
      <c r="K112" s="4">
        <f>I112/J112</f>
        <v>0.64</v>
      </c>
      <c r="L112" s="6">
        <f>100%-K112</f>
        <v>0.36</v>
      </c>
      <c r="M112" s="7">
        <f>K112*100</f>
        <v>64</v>
      </c>
      <c r="N112" s="7" t="str" cm="1">
        <f t="array" ref="N112">_xlfn.IFS(
M112&gt;=80,"Outstanding",
M112&gt;=65,"Good",
M112&gt;=50,"Needs Improvement",
TRUE,"Critical"
)</f>
        <v>Needs Improvement</v>
      </c>
      <c r="O112" s="10">
        <f>_xlfn.RANK.EQ(M112,$M:$M,0)</f>
        <v>35</v>
      </c>
      <c r="P112">
        <f>Table2[[#This Row],[Total Sales]]/Table2[[#This Row],[Target]]*100</f>
        <v>64</v>
      </c>
    </row>
    <row r="113" spans="1:16" x14ac:dyDescent="0.3">
      <c r="A113" s="9" t="s">
        <v>242</v>
      </c>
      <c r="B113" s="1" t="s">
        <v>243</v>
      </c>
      <c r="C113" s="1" t="s">
        <v>35</v>
      </c>
      <c r="D113" s="2">
        <v>93</v>
      </c>
      <c r="E113" s="2">
        <v>74</v>
      </c>
      <c r="F113" s="2">
        <v>85</v>
      </c>
      <c r="G113" s="2">
        <v>47</v>
      </c>
      <c r="H113" s="2">
        <v>90</v>
      </c>
      <c r="I113" s="3">
        <v>389</v>
      </c>
      <c r="J113" s="3">
        <v>500</v>
      </c>
      <c r="K113" s="4">
        <f>I113/J113</f>
        <v>0.77800000000000002</v>
      </c>
      <c r="L113" s="6">
        <f>100%-K113</f>
        <v>0.22199999999999998</v>
      </c>
      <c r="M113" s="7">
        <f>K113*100</f>
        <v>77.8</v>
      </c>
      <c r="N113" s="7" t="str" cm="1">
        <f t="array" ref="N113">_xlfn.IFS(
M113&gt;=80,"Outstanding",
M113&gt;=65,"Good",
M113&gt;=50,"Needs Improvement",
TRUE,"Critical"
)</f>
        <v>Good</v>
      </c>
      <c r="O113" s="10">
        <f>_xlfn.RANK.EQ(M113,$M:$M,0)</f>
        <v>1</v>
      </c>
      <c r="P113">
        <f>Table2[[#This Row],[Total Sales]]/Table2[[#This Row],[Target]]*100</f>
        <v>77.8</v>
      </c>
    </row>
    <row r="114" spans="1:16" x14ac:dyDescent="0.3">
      <c r="A114" s="9" t="s">
        <v>244</v>
      </c>
      <c r="B114" s="1" t="s">
        <v>245</v>
      </c>
      <c r="C114" s="1" t="s">
        <v>14</v>
      </c>
      <c r="D114" s="2">
        <v>43</v>
      </c>
      <c r="E114" s="2">
        <v>88</v>
      </c>
      <c r="F114" s="2">
        <v>35</v>
      </c>
      <c r="G114" s="2">
        <v>54</v>
      </c>
      <c r="H114" s="2">
        <v>91</v>
      </c>
      <c r="I114" s="3">
        <v>311</v>
      </c>
      <c r="J114" s="3">
        <v>500</v>
      </c>
      <c r="K114" s="4">
        <f>I114/J114</f>
        <v>0.622</v>
      </c>
      <c r="L114" s="6">
        <f>100%-K114</f>
        <v>0.378</v>
      </c>
      <c r="M114" s="7">
        <f>K114*100</f>
        <v>62.2</v>
      </c>
      <c r="N114" s="7" t="str" cm="1">
        <f t="array" ref="N114">_xlfn.IFS(
M114&gt;=80,"Outstanding",
M114&gt;=65,"Good",
M114&gt;=50,"Needs Improvement",
TRUE,"Critical"
)</f>
        <v>Needs Improvement</v>
      </c>
      <c r="O114" s="10">
        <f>_xlfn.RANK.EQ(M114,$M:$M,0)</f>
        <v>43</v>
      </c>
      <c r="P114">
        <f>Table2[[#This Row],[Total Sales]]/Table2[[#This Row],[Target]]*100</f>
        <v>62.2</v>
      </c>
    </row>
    <row r="115" spans="1:16" x14ac:dyDescent="0.3">
      <c r="A115" s="9" t="s">
        <v>246</v>
      </c>
      <c r="B115" s="1" t="s">
        <v>247</v>
      </c>
      <c r="C115" s="1" t="s">
        <v>17</v>
      </c>
      <c r="D115" s="2">
        <v>87</v>
      </c>
      <c r="E115" s="2">
        <v>15</v>
      </c>
      <c r="F115" s="2">
        <v>11</v>
      </c>
      <c r="G115" s="2">
        <v>42</v>
      </c>
      <c r="H115" s="2">
        <v>88</v>
      </c>
      <c r="I115" s="3">
        <v>243</v>
      </c>
      <c r="J115" s="3">
        <v>500</v>
      </c>
      <c r="K115" s="4">
        <f>I115/J115</f>
        <v>0.48599999999999999</v>
      </c>
      <c r="L115" s="6">
        <f>100%-K115</f>
        <v>0.51400000000000001</v>
      </c>
      <c r="M115" s="7">
        <f>K115*100</f>
        <v>48.6</v>
      </c>
      <c r="N115" s="7" t="str" cm="1">
        <f t="array" ref="N115">_xlfn.IFS(
M115&gt;=80,"Outstanding",
M115&gt;=65,"Good",
M115&gt;=50,"Needs Improvement",
TRUE,"Critical"
)</f>
        <v>Critical</v>
      </c>
      <c r="O115" s="10">
        <f>_xlfn.RANK.EQ(M115,$M:$M,0)</f>
        <v>98</v>
      </c>
      <c r="P115">
        <f>Table2[[#This Row],[Total Sales]]/Table2[[#This Row],[Target]]*100</f>
        <v>48.6</v>
      </c>
    </row>
    <row r="116" spans="1:16" x14ac:dyDescent="0.3">
      <c r="A116" s="9" t="s">
        <v>248</v>
      </c>
      <c r="B116" s="1" t="s">
        <v>249</v>
      </c>
      <c r="C116" s="1" t="s">
        <v>20</v>
      </c>
      <c r="D116" s="2">
        <v>45</v>
      </c>
      <c r="E116" s="2">
        <v>45</v>
      </c>
      <c r="F116" s="2">
        <v>61</v>
      </c>
      <c r="G116" s="2">
        <v>11</v>
      </c>
      <c r="H116" s="2">
        <v>52</v>
      </c>
      <c r="I116" s="3">
        <v>214</v>
      </c>
      <c r="J116" s="3">
        <v>500</v>
      </c>
      <c r="K116" s="4">
        <f>I116/J116</f>
        <v>0.42799999999999999</v>
      </c>
      <c r="L116" s="6">
        <f>100%-K116</f>
        <v>0.57200000000000006</v>
      </c>
      <c r="M116" s="7">
        <f>K116*100</f>
        <v>42.8</v>
      </c>
      <c r="N116" s="7" t="str" cm="1">
        <f t="array" ref="N116">_xlfn.IFS(
M116&gt;=80,"Outstanding",
M116&gt;=65,"Good",
M116&gt;=50,"Needs Improvement",
TRUE,"Critical"
)</f>
        <v>Critical</v>
      </c>
      <c r="O116" s="10">
        <f>_xlfn.RANK.EQ(M116,$M:$M,0)</f>
        <v>116</v>
      </c>
      <c r="P116">
        <f>Table2[[#This Row],[Total Sales]]/Table2[[#This Row],[Target]]*100</f>
        <v>42.8</v>
      </c>
    </row>
    <row r="117" spans="1:16" x14ac:dyDescent="0.3">
      <c r="A117" s="9" t="s">
        <v>250</v>
      </c>
      <c r="B117" s="1" t="s">
        <v>251</v>
      </c>
      <c r="C117" s="1" t="s">
        <v>23</v>
      </c>
      <c r="D117" s="2">
        <v>71</v>
      </c>
      <c r="E117" s="2">
        <v>42</v>
      </c>
      <c r="F117" s="2">
        <v>17</v>
      </c>
      <c r="G117" s="2">
        <v>57</v>
      </c>
      <c r="H117" s="2">
        <v>96</v>
      </c>
      <c r="I117" s="3">
        <v>283</v>
      </c>
      <c r="J117" s="3">
        <v>500</v>
      </c>
      <c r="K117" s="4">
        <f>I117/J117</f>
        <v>0.56599999999999995</v>
      </c>
      <c r="L117" s="6">
        <f>100%-K117</f>
        <v>0.43400000000000005</v>
      </c>
      <c r="M117" s="7">
        <f>K117*100</f>
        <v>56.599999999999994</v>
      </c>
      <c r="N117" s="7" t="str" cm="1">
        <f t="array" ref="N117">_xlfn.IFS(
M117&gt;=80,"Outstanding",
M117&gt;=65,"Good",
M117&gt;=50,"Needs Improvement",
TRUE,"Critical"
)</f>
        <v>Needs Improvement</v>
      </c>
      <c r="O117" s="10">
        <f>_xlfn.RANK.EQ(M117,$M:$M,0)</f>
        <v>71</v>
      </c>
      <c r="P117">
        <f>Table2[[#This Row],[Total Sales]]/Table2[[#This Row],[Target]]*100</f>
        <v>56.599999999999994</v>
      </c>
    </row>
    <row r="118" spans="1:16" x14ac:dyDescent="0.3">
      <c r="A118" s="9" t="s">
        <v>252</v>
      </c>
      <c r="B118" s="1" t="s">
        <v>253</v>
      </c>
      <c r="C118" s="1" t="s">
        <v>26</v>
      </c>
      <c r="D118" s="2">
        <v>26</v>
      </c>
      <c r="E118" s="2">
        <v>65</v>
      </c>
      <c r="F118" s="2">
        <v>17</v>
      </c>
      <c r="G118" s="2">
        <v>28</v>
      </c>
      <c r="H118" s="2">
        <v>30</v>
      </c>
      <c r="I118" s="3">
        <v>166</v>
      </c>
      <c r="J118" s="3">
        <v>500</v>
      </c>
      <c r="K118" s="4">
        <f>I118/J118</f>
        <v>0.33200000000000002</v>
      </c>
      <c r="L118" s="6">
        <f>100%-K118</f>
        <v>0.66799999999999993</v>
      </c>
      <c r="M118" s="7">
        <f>K118*100</f>
        <v>33.200000000000003</v>
      </c>
      <c r="N118" s="7" t="str" cm="1">
        <f t="array" ref="N118">_xlfn.IFS(
M118&gt;=80,"Outstanding",
M118&gt;=65,"Good",
M118&gt;=50,"Needs Improvement",
TRUE,"Critical"
)</f>
        <v>Critical</v>
      </c>
      <c r="O118" s="10">
        <f>_xlfn.RANK.EQ(M118,$M:$M,0)</f>
        <v>138</v>
      </c>
      <c r="P118">
        <f>Table2[[#This Row],[Total Sales]]/Table2[[#This Row],[Target]]*100</f>
        <v>33.200000000000003</v>
      </c>
    </row>
    <row r="119" spans="1:16" x14ac:dyDescent="0.3">
      <c r="A119" s="9" t="s">
        <v>254</v>
      </c>
      <c r="B119" s="1" t="s">
        <v>255</v>
      </c>
      <c r="C119" s="1" t="s">
        <v>29</v>
      </c>
      <c r="D119" s="2">
        <v>26</v>
      </c>
      <c r="E119" s="2">
        <v>61</v>
      </c>
      <c r="F119" s="2">
        <v>89</v>
      </c>
      <c r="G119" s="2">
        <v>71</v>
      </c>
      <c r="H119" s="2">
        <v>33</v>
      </c>
      <c r="I119" s="3">
        <v>280</v>
      </c>
      <c r="J119" s="3">
        <v>500</v>
      </c>
      <c r="K119" s="4">
        <f>I119/J119</f>
        <v>0.56000000000000005</v>
      </c>
      <c r="L119" s="6">
        <f>100%-K119</f>
        <v>0.43999999999999995</v>
      </c>
      <c r="M119" s="7">
        <f>K119*100</f>
        <v>56.000000000000007</v>
      </c>
      <c r="N119" s="7" t="str" cm="1">
        <f t="array" ref="N119">_xlfn.IFS(
M119&gt;=80,"Outstanding",
M119&gt;=65,"Good",
M119&gt;=50,"Needs Improvement",
TRUE,"Critical"
)</f>
        <v>Needs Improvement</v>
      </c>
      <c r="O119" s="10">
        <f>_xlfn.RANK.EQ(M119,$M:$M,0)</f>
        <v>75</v>
      </c>
      <c r="P119">
        <f>Table2[[#This Row],[Total Sales]]/Table2[[#This Row],[Target]]*100</f>
        <v>56.000000000000007</v>
      </c>
    </row>
    <row r="120" spans="1:16" x14ac:dyDescent="0.3">
      <c r="A120" s="9" t="s">
        <v>256</v>
      </c>
      <c r="B120" s="1" t="s">
        <v>257</v>
      </c>
      <c r="C120" s="1" t="s">
        <v>32</v>
      </c>
      <c r="D120" s="2">
        <v>93</v>
      </c>
      <c r="E120" s="2">
        <v>11</v>
      </c>
      <c r="F120" s="2">
        <v>93</v>
      </c>
      <c r="G120" s="2">
        <v>31</v>
      </c>
      <c r="H120" s="2">
        <v>30</v>
      </c>
      <c r="I120" s="3">
        <v>258</v>
      </c>
      <c r="J120" s="3">
        <v>500</v>
      </c>
      <c r="K120" s="4">
        <f>I120/J120</f>
        <v>0.51600000000000001</v>
      </c>
      <c r="L120" s="6">
        <f>100%-K120</f>
        <v>0.48399999999999999</v>
      </c>
      <c r="M120" s="7">
        <f>K120*100</f>
        <v>51.6</v>
      </c>
      <c r="N120" s="7" t="str" cm="1">
        <f t="array" ref="N120">_xlfn.IFS(
M120&gt;=80,"Outstanding",
M120&gt;=65,"Good",
M120&gt;=50,"Needs Improvement",
TRUE,"Critical"
)</f>
        <v>Needs Improvement</v>
      </c>
      <c r="O120" s="10">
        <f>_xlfn.RANK.EQ(M120,$M:$M,0)</f>
        <v>88</v>
      </c>
      <c r="P120">
        <f>Table2[[#This Row],[Total Sales]]/Table2[[#This Row],[Target]]*100</f>
        <v>51.6</v>
      </c>
    </row>
    <row r="121" spans="1:16" x14ac:dyDescent="0.3">
      <c r="A121" s="9" t="s">
        <v>258</v>
      </c>
      <c r="B121" s="1" t="s">
        <v>259</v>
      </c>
      <c r="C121" s="1" t="s">
        <v>35</v>
      </c>
      <c r="D121" s="2">
        <v>65</v>
      </c>
      <c r="E121" s="2">
        <v>92</v>
      </c>
      <c r="F121" s="2">
        <v>48</v>
      </c>
      <c r="G121" s="2">
        <v>96</v>
      </c>
      <c r="H121" s="2">
        <v>15</v>
      </c>
      <c r="I121" s="3">
        <v>316</v>
      </c>
      <c r="J121" s="3">
        <v>500</v>
      </c>
      <c r="K121" s="4">
        <f>I121/J121</f>
        <v>0.63200000000000001</v>
      </c>
      <c r="L121" s="6">
        <f>100%-K121</f>
        <v>0.36799999999999999</v>
      </c>
      <c r="M121" s="7">
        <f>K121*100</f>
        <v>63.2</v>
      </c>
      <c r="N121" s="7" t="str" cm="1">
        <f t="array" ref="N121">_xlfn.IFS(
M121&gt;=80,"Outstanding",
M121&gt;=65,"Good",
M121&gt;=50,"Needs Improvement",
TRUE,"Critical"
)</f>
        <v>Needs Improvement</v>
      </c>
      <c r="O121" s="10">
        <f>_xlfn.RANK.EQ(M121,$M:$M,0)</f>
        <v>39</v>
      </c>
      <c r="P121">
        <f>Table2[[#This Row],[Total Sales]]/Table2[[#This Row],[Target]]*100</f>
        <v>63.2</v>
      </c>
    </row>
    <row r="122" spans="1:16" x14ac:dyDescent="0.3">
      <c r="A122" s="9" t="s">
        <v>260</v>
      </c>
      <c r="B122" s="1" t="s">
        <v>261</v>
      </c>
      <c r="C122" s="1" t="s">
        <v>14</v>
      </c>
      <c r="D122" s="2">
        <v>91</v>
      </c>
      <c r="E122" s="2">
        <v>38</v>
      </c>
      <c r="F122" s="2">
        <v>33</v>
      </c>
      <c r="G122" s="2">
        <v>55</v>
      </c>
      <c r="H122" s="2">
        <v>83</v>
      </c>
      <c r="I122" s="3">
        <v>300</v>
      </c>
      <c r="J122" s="3">
        <v>500</v>
      </c>
      <c r="K122" s="4">
        <f>I122/J122</f>
        <v>0.6</v>
      </c>
      <c r="L122" s="6">
        <f>100%-K122</f>
        <v>0.4</v>
      </c>
      <c r="M122" s="7">
        <f>K122*100</f>
        <v>60</v>
      </c>
      <c r="N122" s="7" t="str" cm="1">
        <f t="array" ref="N122">_xlfn.IFS(
M122&gt;=80,"Outstanding",
M122&gt;=65,"Good",
M122&gt;=50,"Needs Improvement",
TRUE,"Critical"
)</f>
        <v>Needs Improvement</v>
      </c>
      <c r="O122" s="10">
        <f>_xlfn.RANK.EQ(M122,$M:$M,0)</f>
        <v>52</v>
      </c>
      <c r="P122">
        <f>Table2[[#This Row],[Total Sales]]/Table2[[#This Row],[Target]]*100</f>
        <v>60</v>
      </c>
    </row>
    <row r="123" spans="1:16" x14ac:dyDescent="0.3">
      <c r="A123" s="9" t="s">
        <v>262</v>
      </c>
      <c r="B123" s="1" t="s">
        <v>263</v>
      </c>
      <c r="C123" s="1" t="s">
        <v>17</v>
      </c>
      <c r="D123" s="2">
        <v>20</v>
      </c>
      <c r="E123" s="2">
        <v>94</v>
      </c>
      <c r="F123" s="2">
        <v>45</v>
      </c>
      <c r="G123" s="2">
        <v>70</v>
      </c>
      <c r="H123" s="2">
        <v>98</v>
      </c>
      <c r="I123" s="3">
        <v>327</v>
      </c>
      <c r="J123" s="3">
        <v>500</v>
      </c>
      <c r="K123" s="4">
        <f>I123/J123</f>
        <v>0.65400000000000003</v>
      </c>
      <c r="L123" s="6">
        <f>100%-K123</f>
        <v>0.34599999999999997</v>
      </c>
      <c r="M123" s="7">
        <f>K123*100</f>
        <v>65.400000000000006</v>
      </c>
      <c r="N123" s="7" t="str" cm="1">
        <f t="array" ref="N123">_xlfn.IFS(
M123&gt;=80,"Outstanding",
M123&gt;=65,"Good",
M123&gt;=50,"Needs Improvement",
TRUE,"Critical"
)</f>
        <v>Good</v>
      </c>
      <c r="O123" s="10">
        <f>_xlfn.RANK.EQ(M123,$M:$M,0)</f>
        <v>29</v>
      </c>
      <c r="P123">
        <f>Table2[[#This Row],[Total Sales]]/Table2[[#This Row],[Target]]*100</f>
        <v>65.400000000000006</v>
      </c>
    </row>
    <row r="124" spans="1:16" x14ac:dyDescent="0.3">
      <c r="A124" s="9" t="s">
        <v>264</v>
      </c>
      <c r="B124" s="1" t="s">
        <v>265</v>
      </c>
      <c r="C124" s="1" t="s">
        <v>20</v>
      </c>
      <c r="D124" s="2">
        <v>25</v>
      </c>
      <c r="E124" s="2">
        <v>83</v>
      </c>
      <c r="F124" s="2">
        <v>26</v>
      </c>
      <c r="G124" s="2">
        <v>68</v>
      </c>
      <c r="H124" s="2">
        <v>22</v>
      </c>
      <c r="I124" s="3">
        <v>224</v>
      </c>
      <c r="J124" s="3">
        <v>500</v>
      </c>
      <c r="K124" s="4">
        <f>I124/J124</f>
        <v>0.44800000000000001</v>
      </c>
      <c r="L124" s="6">
        <f>100%-K124</f>
        <v>0.55200000000000005</v>
      </c>
      <c r="M124" s="7">
        <f>K124*100</f>
        <v>44.800000000000004</v>
      </c>
      <c r="N124" s="7" t="str" cm="1">
        <f t="array" ref="N124">_xlfn.IFS(
M124&gt;=80,"Outstanding",
M124&gt;=65,"Good",
M124&gt;=50,"Needs Improvement",
TRUE,"Critical"
)</f>
        <v>Critical</v>
      </c>
      <c r="O124" s="10">
        <f>_xlfn.RANK.EQ(M124,$M:$M,0)</f>
        <v>108</v>
      </c>
      <c r="P124">
        <f>Table2[[#This Row],[Total Sales]]/Table2[[#This Row],[Target]]*100</f>
        <v>44.800000000000004</v>
      </c>
    </row>
    <row r="125" spans="1:16" x14ac:dyDescent="0.3">
      <c r="A125" s="9" t="s">
        <v>266</v>
      </c>
      <c r="B125" s="1" t="s">
        <v>267</v>
      </c>
      <c r="C125" s="1" t="s">
        <v>23</v>
      </c>
      <c r="D125" s="2">
        <v>26</v>
      </c>
      <c r="E125" s="2">
        <v>16</v>
      </c>
      <c r="F125" s="2">
        <v>61</v>
      </c>
      <c r="G125" s="2">
        <v>92</v>
      </c>
      <c r="H125" s="2">
        <v>50</v>
      </c>
      <c r="I125" s="3">
        <v>245</v>
      </c>
      <c r="J125" s="3">
        <v>500</v>
      </c>
      <c r="K125" s="4">
        <f>I125/J125</f>
        <v>0.49</v>
      </c>
      <c r="L125" s="6">
        <f>100%-K125</f>
        <v>0.51</v>
      </c>
      <c r="M125" s="7">
        <f>K125*100</f>
        <v>49</v>
      </c>
      <c r="N125" s="7" t="str" cm="1">
        <f t="array" ref="N125">_xlfn.IFS(
M125&gt;=80,"Outstanding",
M125&gt;=65,"Good",
M125&gt;=50,"Needs Improvement",
TRUE,"Critical"
)</f>
        <v>Critical</v>
      </c>
      <c r="O125" s="10">
        <f>_xlfn.RANK.EQ(M125,$M:$M,0)</f>
        <v>94</v>
      </c>
      <c r="P125">
        <f>Table2[[#This Row],[Total Sales]]/Table2[[#This Row],[Target]]*100</f>
        <v>49</v>
      </c>
    </row>
    <row r="126" spans="1:16" x14ac:dyDescent="0.3">
      <c r="A126" s="9" t="s">
        <v>268</v>
      </c>
      <c r="B126" s="1" t="s">
        <v>269</v>
      </c>
      <c r="C126" s="1" t="s">
        <v>26</v>
      </c>
      <c r="D126" s="2">
        <v>31</v>
      </c>
      <c r="E126" s="2">
        <v>55</v>
      </c>
      <c r="F126" s="2">
        <v>75</v>
      </c>
      <c r="G126" s="2">
        <v>66</v>
      </c>
      <c r="H126" s="2">
        <v>75</v>
      </c>
      <c r="I126" s="3">
        <v>302</v>
      </c>
      <c r="J126" s="3">
        <v>500</v>
      </c>
      <c r="K126" s="4">
        <f>I126/J126</f>
        <v>0.60399999999999998</v>
      </c>
      <c r="L126" s="6">
        <f>100%-K126</f>
        <v>0.39600000000000002</v>
      </c>
      <c r="M126" s="7">
        <f>K126*100</f>
        <v>60.4</v>
      </c>
      <c r="N126" s="7" t="str" cm="1">
        <f t="array" ref="N126">_xlfn.IFS(
M126&gt;=80,"Outstanding",
M126&gt;=65,"Good",
M126&gt;=50,"Needs Improvement",
TRUE,"Critical"
)</f>
        <v>Needs Improvement</v>
      </c>
      <c r="O126" s="10">
        <f>_xlfn.RANK.EQ(M126,$M:$M,0)</f>
        <v>50</v>
      </c>
      <c r="P126">
        <f>Table2[[#This Row],[Total Sales]]/Table2[[#This Row],[Target]]*100</f>
        <v>60.4</v>
      </c>
    </row>
    <row r="127" spans="1:16" x14ac:dyDescent="0.3">
      <c r="A127" s="9" t="s">
        <v>270</v>
      </c>
      <c r="B127" s="1" t="s">
        <v>271</v>
      </c>
      <c r="C127" s="1" t="s">
        <v>29</v>
      </c>
      <c r="D127" s="2">
        <v>41</v>
      </c>
      <c r="E127" s="2">
        <v>66</v>
      </c>
      <c r="F127" s="2">
        <v>48</v>
      </c>
      <c r="G127" s="2">
        <v>70</v>
      </c>
      <c r="H127" s="2">
        <v>48</v>
      </c>
      <c r="I127" s="3">
        <v>273</v>
      </c>
      <c r="J127" s="3">
        <v>500</v>
      </c>
      <c r="K127" s="4">
        <f>I127/J127</f>
        <v>0.54600000000000004</v>
      </c>
      <c r="L127" s="6">
        <f>100%-K127</f>
        <v>0.45399999999999996</v>
      </c>
      <c r="M127" s="7">
        <f>K127*100</f>
        <v>54.6</v>
      </c>
      <c r="N127" s="7" t="str" cm="1">
        <f t="array" ref="N127">_xlfn.IFS(
M127&gt;=80,"Outstanding",
M127&gt;=65,"Good",
M127&gt;=50,"Needs Improvement",
TRUE,"Critical"
)</f>
        <v>Needs Improvement</v>
      </c>
      <c r="O127" s="10">
        <f>_xlfn.RANK.EQ(M127,$M:$M,0)</f>
        <v>78</v>
      </c>
      <c r="P127">
        <f>Table2[[#This Row],[Total Sales]]/Table2[[#This Row],[Target]]*100</f>
        <v>54.6</v>
      </c>
    </row>
    <row r="128" spans="1:16" x14ac:dyDescent="0.3">
      <c r="A128" s="9" t="s">
        <v>272</v>
      </c>
      <c r="B128" s="1" t="s">
        <v>273</v>
      </c>
      <c r="C128" s="1" t="s">
        <v>32</v>
      </c>
      <c r="D128" s="2">
        <v>60</v>
      </c>
      <c r="E128" s="2">
        <v>92</v>
      </c>
      <c r="F128" s="2">
        <v>32</v>
      </c>
      <c r="G128" s="2">
        <v>60</v>
      </c>
      <c r="H128" s="2">
        <v>78</v>
      </c>
      <c r="I128" s="3">
        <v>322</v>
      </c>
      <c r="J128" s="3">
        <v>500</v>
      </c>
      <c r="K128" s="4">
        <f>I128/J128</f>
        <v>0.64400000000000002</v>
      </c>
      <c r="L128" s="6">
        <f>100%-K128</f>
        <v>0.35599999999999998</v>
      </c>
      <c r="M128" s="7">
        <f>K128*100</f>
        <v>64.400000000000006</v>
      </c>
      <c r="N128" s="7" t="str" cm="1">
        <f t="array" ref="N128">_xlfn.IFS(
M128&gt;=80,"Outstanding",
M128&gt;=65,"Good",
M128&gt;=50,"Needs Improvement",
TRUE,"Critical"
)</f>
        <v>Needs Improvement</v>
      </c>
      <c r="O128" s="10">
        <f>_xlfn.RANK.EQ(M128,$M:$M,0)</f>
        <v>32</v>
      </c>
      <c r="P128">
        <f>Table2[[#This Row],[Total Sales]]/Table2[[#This Row],[Target]]*100</f>
        <v>64.400000000000006</v>
      </c>
    </row>
    <row r="129" spans="1:16" x14ac:dyDescent="0.3">
      <c r="A129" s="9" t="s">
        <v>274</v>
      </c>
      <c r="B129" s="1" t="s">
        <v>275</v>
      </c>
      <c r="C129" s="1" t="s">
        <v>35</v>
      </c>
      <c r="D129" s="2">
        <v>42</v>
      </c>
      <c r="E129" s="2">
        <v>24</v>
      </c>
      <c r="F129" s="2">
        <v>19</v>
      </c>
      <c r="G129" s="2">
        <v>82</v>
      </c>
      <c r="H129" s="2">
        <v>16</v>
      </c>
      <c r="I129" s="3">
        <v>183</v>
      </c>
      <c r="J129" s="3">
        <v>500</v>
      </c>
      <c r="K129" s="4">
        <f>I129/J129</f>
        <v>0.36599999999999999</v>
      </c>
      <c r="L129" s="6">
        <f>100%-K129</f>
        <v>0.63400000000000001</v>
      </c>
      <c r="M129" s="7">
        <f>K129*100</f>
        <v>36.6</v>
      </c>
      <c r="N129" s="7" t="str" cm="1">
        <f t="array" ref="N129">_xlfn.IFS(
M129&gt;=80,"Outstanding",
M129&gt;=65,"Good",
M129&gt;=50,"Needs Improvement",
TRUE,"Critical"
)</f>
        <v>Critical</v>
      </c>
      <c r="O129" s="10">
        <f>_xlfn.RANK.EQ(M129,$M:$M,0)</f>
        <v>134</v>
      </c>
      <c r="P129">
        <f>Table2[[#This Row],[Total Sales]]/Table2[[#This Row],[Target]]*100</f>
        <v>36.6</v>
      </c>
    </row>
    <row r="130" spans="1:16" x14ac:dyDescent="0.3">
      <c r="A130" s="9" t="s">
        <v>276</v>
      </c>
      <c r="B130" s="1" t="s">
        <v>277</v>
      </c>
      <c r="C130" s="1" t="s">
        <v>14</v>
      </c>
      <c r="D130" s="2">
        <v>26</v>
      </c>
      <c r="E130" s="2">
        <v>85</v>
      </c>
      <c r="F130" s="2">
        <v>75</v>
      </c>
      <c r="G130" s="2">
        <v>83</v>
      </c>
      <c r="H130" s="2">
        <v>37</v>
      </c>
      <c r="I130" s="3">
        <v>306</v>
      </c>
      <c r="J130" s="3">
        <v>500</v>
      </c>
      <c r="K130" s="4">
        <f>I130/J130</f>
        <v>0.61199999999999999</v>
      </c>
      <c r="L130" s="6">
        <f>100%-K130</f>
        <v>0.38800000000000001</v>
      </c>
      <c r="M130" s="7">
        <f>K130*100</f>
        <v>61.199999999999996</v>
      </c>
      <c r="N130" s="7" t="str" cm="1">
        <f t="array" ref="N130">_xlfn.IFS(
M130&gt;=80,"Outstanding",
M130&gt;=65,"Good",
M130&gt;=50,"Needs Improvement",
TRUE,"Critical"
)</f>
        <v>Needs Improvement</v>
      </c>
      <c r="O130" s="10">
        <f>_xlfn.RANK.EQ(M130,$M:$M,0)</f>
        <v>45</v>
      </c>
      <c r="P130">
        <f>Table2[[#This Row],[Total Sales]]/Table2[[#This Row],[Target]]*100</f>
        <v>61.199999999999996</v>
      </c>
    </row>
    <row r="131" spans="1:16" x14ac:dyDescent="0.3">
      <c r="A131" s="9" t="s">
        <v>278</v>
      </c>
      <c r="B131" s="1" t="s">
        <v>279</v>
      </c>
      <c r="C131" s="1" t="s">
        <v>17</v>
      </c>
      <c r="D131" s="2">
        <v>81</v>
      </c>
      <c r="E131" s="2">
        <v>68</v>
      </c>
      <c r="F131" s="2">
        <v>74</v>
      </c>
      <c r="G131" s="2">
        <v>72</v>
      </c>
      <c r="H131" s="2">
        <v>12</v>
      </c>
      <c r="I131" s="3">
        <v>307</v>
      </c>
      <c r="J131" s="3">
        <v>500</v>
      </c>
      <c r="K131" s="4">
        <f>I131/J131</f>
        <v>0.61399999999999999</v>
      </c>
      <c r="L131" s="6">
        <f>100%-K131</f>
        <v>0.38600000000000001</v>
      </c>
      <c r="M131" s="7">
        <f>K131*100</f>
        <v>61.4</v>
      </c>
      <c r="N131" s="7" t="str" cm="1">
        <f t="array" ref="N131">_xlfn.IFS(
M131&gt;=80,"Outstanding",
M131&gt;=65,"Good",
M131&gt;=50,"Needs Improvement",
TRUE,"Critical"
)</f>
        <v>Needs Improvement</v>
      </c>
      <c r="O131" s="10">
        <f>_xlfn.RANK.EQ(M131,$M:$M,0)</f>
        <v>44</v>
      </c>
      <c r="P131">
        <f>Table2[[#This Row],[Total Sales]]/Table2[[#This Row],[Target]]*100</f>
        <v>61.4</v>
      </c>
    </row>
    <row r="132" spans="1:16" x14ac:dyDescent="0.3">
      <c r="A132" s="9" t="s">
        <v>280</v>
      </c>
      <c r="B132" s="1" t="s">
        <v>281</v>
      </c>
      <c r="C132" s="1" t="s">
        <v>20</v>
      </c>
      <c r="D132" s="2">
        <v>90</v>
      </c>
      <c r="E132" s="2">
        <v>79</v>
      </c>
      <c r="F132" s="2">
        <v>99</v>
      </c>
      <c r="G132" s="2">
        <v>60</v>
      </c>
      <c r="H132" s="2">
        <v>27</v>
      </c>
      <c r="I132" s="3">
        <v>355</v>
      </c>
      <c r="J132" s="3">
        <v>500</v>
      </c>
      <c r="K132" s="4">
        <f>I132/J132</f>
        <v>0.71</v>
      </c>
      <c r="L132" s="6">
        <f>100%-K132</f>
        <v>0.29000000000000004</v>
      </c>
      <c r="M132" s="7">
        <f>K132*100</f>
        <v>71</v>
      </c>
      <c r="N132" s="7" t="str" cm="1">
        <f t="array" ref="N132">_xlfn.IFS(
M132&gt;=80,"Outstanding",
M132&gt;=65,"Good",
M132&gt;=50,"Needs Improvement",
TRUE,"Critical"
)</f>
        <v>Good</v>
      </c>
      <c r="O132" s="10">
        <f>_xlfn.RANK.EQ(M132,$M:$M,0)</f>
        <v>12</v>
      </c>
      <c r="P132">
        <f>Table2[[#This Row],[Total Sales]]/Table2[[#This Row],[Target]]*100</f>
        <v>71</v>
      </c>
    </row>
    <row r="133" spans="1:16" x14ac:dyDescent="0.3">
      <c r="A133" s="9" t="s">
        <v>282</v>
      </c>
      <c r="B133" s="1" t="s">
        <v>283</v>
      </c>
      <c r="C133" s="1" t="s">
        <v>23</v>
      </c>
      <c r="D133" s="2">
        <v>71</v>
      </c>
      <c r="E133" s="2">
        <v>21</v>
      </c>
      <c r="F133" s="2">
        <v>70</v>
      </c>
      <c r="G133" s="2">
        <v>53</v>
      </c>
      <c r="H133" s="2">
        <v>49</v>
      </c>
      <c r="I133" s="3">
        <v>264</v>
      </c>
      <c r="J133" s="3">
        <v>500</v>
      </c>
      <c r="K133" s="4">
        <f>I133/J133</f>
        <v>0.52800000000000002</v>
      </c>
      <c r="L133" s="6">
        <f>100%-K133</f>
        <v>0.47199999999999998</v>
      </c>
      <c r="M133" s="7">
        <f>K133*100</f>
        <v>52.800000000000004</v>
      </c>
      <c r="N133" s="7" t="str" cm="1">
        <f t="array" ref="N133">_xlfn.IFS(
M133&gt;=80,"Outstanding",
M133&gt;=65,"Good",
M133&gt;=50,"Needs Improvement",
TRUE,"Critical"
)</f>
        <v>Needs Improvement</v>
      </c>
      <c r="O133" s="10">
        <f>_xlfn.RANK.EQ(M133,$M:$M,0)</f>
        <v>84</v>
      </c>
      <c r="P133">
        <f>Table2[[#This Row],[Total Sales]]/Table2[[#This Row],[Target]]*100</f>
        <v>52.800000000000004</v>
      </c>
    </row>
    <row r="134" spans="1:16" x14ac:dyDescent="0.3">
      <c r="A134" s="9" t="s">
        <v>284</v>
      </c>
      <c r="B134" s="1" t="s">
        <v>285</v>
      </c>
      <c r="C134" s="1" t="s">
        <v>26</v>
      </c>
      <c r="D134" s="2">
        <v>86</v>
      </c>
      <c r="E134" s="2">
        <v>60</v>
      </c>
      <c r="F134" s="2">
        <v>59</v>
      </c>
      <c r="G134" s="2">
        <v>51</v>
      </c>
      <c r="H134" s="2">
        <v>90</v>
      </c>
      <c r="I134" s="3">
        <v>346</v>
      </c>
      <c r="J134" s="3">
        <v>500</v>
      </c>
      <c r="K134" s="4">
        <f>I134/J134</f>
        <v>0.69199999999999995</v>
      </c>
      <c r="L134" s="6">
        <f>100%-K134</f>
        <v>0.30800000000000005</v>
      </c>
      <c r="M134" s="7">
        <f>K134*100</f>
        <v>69.199999999999989</v>
      </c>
      <c r="N134" s="7" t="str" cm="1">
        <f t="array" ref="N134">_xlfn.IFS(
M134&gt;=80,"Outstanding",
M134&gt;=65,"Good",
M134&gt;=50,"Needs Improvement",
TRUE,"Critical"
)</f>
        <v>Good</v>
      </c>
      <c r="O134" s="10">
        <f>_xlfn.RANK.EQ(M134,$M:$M,0)</f>
        <v>19</v>
      </c>
      <c r="P134">
        <f>Table2[[#This Row],[Total Sales]]/Table2[[#This Row],[Target]]*100</f>
        <v>69.199999999999989</v>
      </c>
    </row>
    <row r="135" spans="1:16" x14ac:dyDescent="0.3">
      <c r="A135" s="9" t="s">
        <v>286</v>
      </c>
      <c r="B135" s="1" t="s">
        <v>287</v>
      </c>
      <c r="C135" s="1" t="s">
        <v>29</v>
      </c>
      <c r="D135" s="2">
        <v>68</v>
      </c>
      <c r="E135" s="2">
        <v>61</v>
      </c>
      <c r="F135" s="2">
        <v>12</v>
      </c>
      <c r="G135" s="2">
        <v>41</v>
      </c>
      <c r="H135" s="2">
        <v>35</v>
      </c>
      <c r="I135" s="3">
        <v>217</v>
      </c>
      <c r="J135" s="3">
        <v>500</v>
      </c>
      <c r="K135" s="4">
        <f>I135/J135</f>
        <v>0.434</v>
      </c>
      <c r="L135" s="6">
        <f>100%-K135</f>
        <v>0.56600000000000006</v>
      </c>
      <c r="M135" s="7">
        <f>K135*100</f>
        <v>43.4</v>
      </c>
      <c r="N135" s="7" t="str" cm="1">
        <f t="array" ref="N135">_xlfn.IFS(
M135&gt;=80,"Outstanding",
M135&gt;=65,"Good",
M135&gt;=50,"Needs Improvement",
TRUE,"Critical"
)</f>
        <v>Critical</v>
      </c>
      <c r="O135" s="10">
        <f>_xlfn.RANK.EQ(M135,$M:$M,0)</f>
        <v>113</v>
      </c>
      <c r="P135">
        <f>Table2[[#This Row],[Total Sales]]/Table2[[#This Row],[Target]]*100</f>
        <v>43.4</v>
      </c>
    </row>
    <row r="136" spans="1:16" x14ac:dyDescent="0.3">
      <c r="A136" s="9" t="s">
        <v>288</v>
      </c>
      <c r="B136" s="1" t="s">
        <v>289</v>
      </c>
      <c r="C136" s="1" t="s">
        <v>32</v>
      </c>
      <c r="D136" s="2">
        <v>65</v>
      </c>
      <c r="E136" s="2">
        <v>34</v>
      </c>
      <c r="F136" s="2">
        <v>15</v>
      </c>
      <c r="G136" s="2">
        <v>86</v>
      </c>
      <c r="H136" s="2">
        <v>71</v>
      </c>
      <c r="I136" s="3">
        <v>271</v>
      </c>
      <c r="J136" s="3">
        <v>500</v>
      </c>
      <c r="K136" s="4">
        <f>I136/J136</f>
        <v>0.54200000000000004</v>
      </c>
      <c r="L136" s="6">
        <f>100%-K136</f>
        <v>0.45799999999999996</v>
      </c>
      <c r="M136" s="7">
        <f>K136*100</f>
        <v>54.2</v>
      </c>
      <c r="N136" s="7" t="str" cm="1">
        <f t="array" ref="N136">_xlfn.IFS(
M136&gt;=80,"Outstanding",
M136&gt;=65,"Good",
M136&gt;=50,"Needs Improvement",
TRUE,"Critical"
)</f>
        <v>Needs Improvement</v>
      </c>
      <c r="O136" s="10">
        <f>_xlfn.RANK.EQ(M136,$M:$M,0)</f>
        <v>79</v>
      </c>
      <c r="P136">
        <f>Table2[[#This Row],[Total Sales]]/Table2[[#This Row],[Target]]*100</f>
        <v>54.2</v>
      </c>
    </row>
    <row r="137" spans="1:16" x14ac:dyDescent="0.3">
      <c r="A137" s="9" t="s">
        <v>290</v>
      </c>
      <c r="B137" s="1" t="s">
        <v>291</v>
      </c>
      <c r="C137" s="1" t="s">
        <v>35</v>
      </c>
      <c r="D137" s="2">
        <v>91</v>
      </c>
      <c r="E137" s="2">
        <v>21</v>
      </c>
      <c r="F137" s="2">
        <v>59</v>
      </c>
      <c r="G137" s="2">
        <v>85</v>
      </c>
      <c r="H137" s="2">
        <v>60</v>
      </c>
      <c r="I137" s="3">
        <v>316</v>
      </c>
      <c r="J137" s="3">
        <v>500</v>
      </c>
      <c r="K137" s="4">
        <f>I137/J137</f>
        <v>0.63200000000000001</v>
      </c>
      <c r="L137" s="6">
        <f>100%-K137</f>
        <v>0.36799999999999999</v>
      </c>
      <c r="M137" s="7">
        <f>K137*100</f>
        <v>63.2</v>
      </c>
      <c r="N137" s="7" t="str" cm="1">
        <f t="array" ref="N137">_xlfn.IFS(
M137&gt;=80,"Outstanding",
M137&gt;=65,"Good",
M137&gt;=50,"Needs Improvement",
TRUE,"Critical"
)</f>
        <v>Needs Improvement</v>
      </c>
      <c r="O137" s="10">
        <f>_xlfn.RANK.EQ(M137,$M:$M,0)</f>
        <v>39</v>
      </c>
      <c r="P137">
        <f>Table2[[#This Row],[Total Sales]]/Table2[[#This Row],[Target]]*100</f>
        <v>63.2</v>
      </c>
    </row>
    <row r="138" spans="1:16" x14ac:dyDescent="0.3">
      <c r="A138" s="9" t="s">
        <v>292</v>
      </c>
      <c r="B138" s="1" t="s">
        <v>293</v>
      </c>
      <c r="C138" s="1" t="s">
        <v>14</v>
      </c>
      <c r="D138" s="2">
        <v>73</v>
      </c>
      <c r="E138" s="2">
        <v>67</v>
      </c>
      <c r="F138" s="2">
        <v>49</v>
      </c>
      <c r="G138" s="2">
        <v>56</v>
      </c>
      <c r="H138" s="2">
        <v>43</v>
      </c>
      <c r="I138" s="3">
        <v>288</v>
      </c>
      <c r="J138" s="3">
        <v>500</v>
      </c>
      <c r="K138" s="4">
        <f>I138/J138</f>
        <v>0.57599999999999996</v>
      </c>
      <c r="L138" s="6">
        <f>100%-K138</f>
        <v>0.42400000000000004</v>
      </c>
      <c r="M138" s="7">
        <f>K138*100</f>
        <v>57.599999999999994</v>
      </c>
      <c r="N138" s="7" t="str" cm="1">
        <f t="array" ref="N138">_xlfn.IFS(
M138&gt;=80,"Outstanding",
M138&gt;=65,"Good",
M138&gt;=50,"Needs Improvement",
TRUE,"Critical"
)</f>
        <v>Needs Improvement</v>
      </c>
      <c r="O138" s="10">
        <f>_xlfn.RANK.EQ(M138,$M:$M,0)</f>
        <v>60</v>
      </c>
      <c r="P138">
        <f>Table2[[#This Row],[Total Sales]]/Table2[[#This Row],[Target]]*100</f>
        <v>57.599999999999994</v>
      </c>
    </row>
    <row r="139" spans="1:16" x14ac:dyDescent="0.3">
      <c r="A139" s="9" t="s">
        <v>294</v>
      </c>
      <c r="B139" s="1" t="s">
        <v>295</v>
      </c>
      <c r="C139" s="1" t="s">
        <v>17</v>
      </c>
      <c r="D139" s="2">
        <v>72</v>
      </c>
      <c r="E139" s="2">
        <v>49</v>
      </c>
      <c r="F139" s="2">
        <v>93</v>
      </c>
      <c r="G139" s="2">
        <v>95</v>
      </c>
      <c r="H139" s="2">
        <v>73</v>
      </c>
      <c r="I139" s="3">
        <v>382</v>
      </c>
      <c r="J139" s="3">
        <v>500</v>
      </c>
      <c r="K139" s="4">
        <f>I139/J139</f>
        <v>0.76400000000000001</v>
      </c>
      <c r="L139" s="6">
        <f>100%-K139</f>
        <v>0.23599999999999999</v>
      </c>
      <c r="M139" s="7">
        <f>K139*100</f>
        <v>76.400000000000006</v>
      </c>
      <c r="N139" s="7" t="str" cm="1">
        <f t="array" ref="N139">_xlfn.IFS(
M139&gt;=80,"Outstanding",
M139&gt;=65,"Good",
M139&gt;=50,"Needs Improvement",
TRUE,"Critical"
)</f>
        <v>Good</v>
      </c>
      <c r="O139" s="10">
        <f>_xlfn.RANK.EQ(M139,$M:$M,0)</f>
        <v>4</v>
      </c>
      <c r="P139">
        <f>Table2[[#This Row],[Total Sales]]/Table2[[#This Row],[Target]]*100</f>
        <v>76.400000000000006</v>
      </c>
    </row>
    <row r="140" spans="1:16" x14ac:dyDescent="0.3">
      <c r="A140" s="9" t="s">
        <v>296</v>
      </c>
      <c r="B140" s="1" t="s">
        <v>297</v>
      </c>
      <c r="C140" s="1" t="s">
        <v>20</v>
      </c>
      <c r="D140" s="2">
        <v>85</v>
      </c>
      <c r="E140" s="2">
        <v>43</v>
      </c>
      <c r="F140" s="2">
        <v>74</v>
      </c>
      <c r="G140" s="2">
        <v>26</v>
      </c>
      <c r="H140" s="2">
        <v>88</v>
      </c>
      <c r="I140" s="3">
        <v>316</v>
      </c>
      <c r="J140" s="3">
        <v>500</v>
      </c>
      <c r="K140" s="4">
        <f>I140/J140</f>
        <v>0.63200000000000001</v>
      </c>
      <c r="L140" s="6">
        <f>100%-K140</f>
        <v>0.36799999999999999</v>
      </c>
      <c r="M140" s="7">
        <f>K140*100</f>
        <v>63.2</v>
      </c>
      <c r="N140" s="7" t="str" cm="1">
        <f t="array" ref="N140">_xlfn.IFS(
M140&gt;=80,"Outstanding",
M140&gt;=65,"Good",
M140&gt;=50,"Needs Improvement",
TRUE,"Critical"
)</f>
        <v>Needs Improvement</v>
      </c>
      <c r="O140" s="10">
        <f>_xlfn.RANK.EQ(M140,$M:$M,0)</f>
        <v>39</v>
      </c>
      <c r="P140">
        <f>Table2[[#This Row],[Total Sales]]/Table2[[#This Row],[Target]]*100</f>
        <v>63.2</v>
      </c>
    </row>
    <row r="141" spans="1:16" x14ac:dyDescent="0.3">
      <c r="A141" s="9" t="s">
        <v>298</v>
      </c>
      <c r="B141" s="1" t="s">
        <v>299</v>
      </c>
      <c r="C141" s="1" t="s">
        <v>23</v>
      </c>
      <c r="D141" s="2">
        <v>77</v>
      </c>
      <c r="E141" s="2">
        <v>81</v>
      </c>
      <c r="F141" s="2">
        <v>10</v>
      </c>
      <c r="G141" s="2">
        <v>65</v>
      </c>
      <c r="H141" s="2">
        <v>83</v>
      </c>
      <c r="I141" s="3">
        <v>316</v>
      </c>
      <c r="J141" s="3">
        <v>500</v>
      </c>
      <c r="K141" s="4">
        <f>I141/J141</f>
        <v>0.63200000000000001</v>
      </c>
      <c r="L141" s="6">
        <f>100%-K141</f>
        <v>0.36799999999999999</v>
      </c>
      <c r="M141" s="7">
        <f>K141*100</f>
        <v>63.2</v>
      </c>
      <c r="N141" s="7" t="str" cm="1">
        <f t="array" ref="N141">_xlfn.IFS(
M141&gt;=80,"Outstanding",
M141&gt;=65,"Good",
M141&gt;=50,"Needs Improvement",
TRUE,"Critical"
)</f>
        <v>Needs Improvement</v>
      </c>
      <c r="O141" s="10">
        <f>_xlfn.RANK.EQ(M141,$M:$M,0)</f>
        <v>39</v>
      </c>
      <c r="P141">
        <f>Table2[[#This Row],[Total Sales]]/Table2[[#This Row],[Target]]*100</f>
        <v>63.2</v>
      </c>
    </row>
    <row r="142" spans="1:16" x14ac:dyDescent="0.3">
      <c r="A142" s="16" t="s">
        <v>300</v>
      </c>
      <c r="B142" s="17" t="s">
        <v>301</v>
      </c>
      <c r="C142" s="17" t="s">
        <v>26</v>
      </c>
      <c r="D142" s="18">
        <v>46</v>
      </c>
      <c r="E142" s="18">
        <v>52</v>
      </c>
      <c r="F142" s="18">
        <v>57</v>
      </c>
      <c r="G142" s="18">
        <v>67</v>
      </c>
      <c r="H142" s="18">
        <v>64</v>
      </c>
      <c r="I142" s="19">
        <v>286</v>
      </c>
      <c r="J142" s="19">
        <v>500</v>
      </c>
      <c r="K142" s="20">
        <f>I142/J142</f>
        <v>0.57199999999999995</v>
      </c>
      <c r="L142" s="21">
        <f>100%-K142</f>
        <v>0.42800000000000005</v>
      </c>
      <c r="M142" s="22">
        <f>K142*100</f>
        <v>57.199999999999996</v>
      </c>
      <c r="N142" s="22" t="str" cm="1">
        <f t="array" ref="N142">_xlfn.IFS(
M142&gt;=80,"Outstanding",
M142&gt;=65,"Good",
M142&gt;=50,"Needs Improvement",
TRUE,"Critical"
)</f>
        <v>Needs Improvement</v>
      </c>
      <c r="O142" s="23">
        <f>_xlfn.RANK.EQ(M142,$M:$M,0)</f>
        <v>64</v>
      </c>
      <c r="P142">
        <f>Table2[[#This Row],[Total Sales]]/Table2[[#This Row],[Target]]*100</f>
        <v>57.199999999999996</v>
      </c>
    </row>
  </sheetData>
  <pageMargins left="0.7" right="0.7" top="0.75" bottom="0.75" header="0.3" footer="0.3"/>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94AE-B966-44DD-B6FB-B97F7D42EF31}">
  <sheetPr codeName="Sheet2">
    <pageSetUpPr autoPageBreaks="0"/>
  </sheetPr>
  <dimension ref="A1:M23"/>
  <sheetViews>
    <sheetView showGridLines="0" showRowColHeaders="0" tabSelected="1" zoomScale="75" zoomScaleNormal="102" workbookViewId="0">
      <selection activeCell="N14" sqref="N14"/>
      <extLst>
        <ext xmlns:xlsdti="http://schemas.microsoft.com/office/spreadsheetml/2023/showDataTypeIcons" uri="{77bfe23e-c014-4d31-8a63-9c772dbf06b6}">
          <xlsdti:showDataTypeIcons visible="0"/>
        </ext>
      </extLst>
    </sheetView>
  </sheetViews>
  <sheetFormatPr defaultRowHeight="14.4" x14ac:dyDescent="0.3"/>
  <cols>
    <col min="2" max="2" width="15.33203125" customWidth="1"/>
    <col min="3" max="3" width="13.21875" customWidth="1"/>
    <col min="4" max="4" width="14.88671875" customWidth="1"/>
    <col min="5" max="5" width="17.21875" bestFit="1" customWidth="1"/>
    <col min="6" max="6" width="17.44140625" bestFit="1" customWidth="1"/>
    <col min="7" max="7" width="14.44140625" customWidth="1"/>
    <col min="8" max="8" width="16.21875" bestFit="1" customWidth="1"/>
    <col min="9" max="9" width="18.21875" customWidth="1"/>
    <col min="10" max="10" width="14.6640625" customWidth="1"/>
    <col min="11" max="11" width="17.21875" bestFit="1" customWidth="1"/>
    <col min="12" max="12" width="22.88671875" customWidth="1"/>
    <col min="13" max="13" width="8.88671875" customWidth="1"/>
    <col min="14" max="14" width="25" customWidth="1"/>
    <col min="15" max="16" width="12.77734375" bestFit="1" customWidth="1"/>
  </cols>
  <sheetData>
    <row r="1" spans="1:13" ht="70.2" customHeight="1" x14ac:dyDescent="0.3">
      <c r="A1" s="47" t="b">
        <v>1</v>
      </c>
      <c r="B1" s="32"/>
      <c r="C1" s="32"/>
      <c r="D1" s="32"/>
      <c r="E1" s="32" t="b">
        <v>1</v>
      </c>
      <c r="F1" s="32"/>
      <c r="G1" s="32"/>
      <c r="H1" s="32" t="b">
        <v>1</v>
      </c>
      <c r="I1" s="32"/>
      <c r="J1" s="32"/>
      <c r="K1" s="32" t="b">
        <v>1</v>
      </c>
      <c r="L1" s="32"/>
      <c r="M1" s="33"/>
    </row>
    <row r="2" spans="1:13" ht="39" customHeight="1" x14ac:dyDescent="0.3">
      <c r="A2" s="34"/>
      <c r="B2" s="35"/>
      <c r="C2" s="35"/>
      <c r="D2" s="45">
        <f>GETPIVOTDATA("Total Sales",'Raw Data'!$R$10)</f>
        <v>38945</v>
      </c>
      <c r="E2" s="35"/>
      <c r="F2" s="46">
        <f>GETPIVOTDATA("Total Sales",'Raw Data'!$R$14)</f>
        <v>4965</v>
      </c>
      <c r="G2" s="35"/>
      <c r="H2" s="36">
        <f>GETPIVOTDATA("Sum of Target_Achivement%",'Raw Data'!$T$12)</f>
        <v>55.166666666666664</v>
      </c>
      <c r="I2" s="35"/>
      <c r="J2" s="37">
        <f>GETPIVOTDATA("[Measures].[Critical Count]",'Raw Data'!R18)</f>
        <v>50</v>
      </c>
      <c r="K2" s="35"/>
      <c r="L2" s="35"/>
      <c r="M2" s="38"/>
    </row>
    <row r="3" spans="1:13" ht="59.4" customHeight="1" thickBot="1" x14ac:dyDescent="0.35">
      <c r="A3" s="39"/>
      <c r="B3" s="40"/>
      <c r="C3" s="40"/>
      <c r="D3" s="40"/>
      <c r="E3" s="40"/>
      <c r="F3" s="40"/>
      <c r="G3" s="40"/>
      <c r="H3" s="40"/>
      <c r="I3" s="40"/>
      <c r="J3" s="40"/>
      <c r="K3" s="40"/>
      <c r="L3" s="40"/>
      <c r="M3" s="41"/>
    </row>
    <row r="4" spans="1:13" ht="15" thickBot="1" x14ac:dyDescent="0.35">
      <c r="A4" s="39"/>
      <c r="B4" s="29" t="s">
        <v>1</v>
      </c>
      <c r="C4" s="30" t="s">
        <v>302</v>
      </c>
      <c r="D4" s="40"/>
      <c r="E4" s="29" t="s">
        <v>1</v>
      </c>
      <c r="F4" s="30" t="s">
        <v>302</v>
      </c>
      <c r="G4" s="40"/>
      <c r="H4" s="29" t="s">
        <v>1</v>
      </c>
      <c r="I4" s="30" t="s">
        <v>303</v>
      </c>
      <c r="J4" s="40"/>
      <c r="K4" s="29" t="s">
        <v>1</v>
      </c>
      <c r="L4" s="30" t="s">
        <v>304</v>
      </c>
      <c r="M4" s="41"/>
    </row>
    <row r="5" spans="1:13" x14ac:dyDescent="0.3">
      <c r="A5" s="39"/>
      <c r="B5" s="24" t="s">
        <v>295</v>
      </c>
      <c r="C5" s="51">
        <v>382</v>
      </c>
      <c r="D5" s="40"/>
      <c r="E5" s="24" t="s">
        <v>231</v>
      </c>
      <c r="F5" s="51">
        <v>228</v>
      </c>
      <c r="G5" s="40"/>
      <c r="H5" s="24" t="s">
        <v>295</v>
      </c>
      <c r="I5" s="26">
        <v>0.76400000000000001</v>
      </c>
      <c r="J5" s="40"/>
      <c r="K5" s="24" t="s">
        <v>231</v>
      </c>
      <c r="L5" s="26">
        <v>0.54400000000000004</v>
      </c>
      <c r="M5" s="41"/>
    </row>
    <row r="6" spans="1:13" x14ac:dyDescent="0.3">
      <c r="A6" s="39"/>
      <c r="B6" s="24" t="s">
        <v>263</v>
      </c>
      <c r="C6" s="52">
        <v>327</v>
      </c>
      <c r="D6" s="40"/>
      <c r="E6" s="24" t="s">
        <v>183</v>
      </c>
      <c r="F6" s="52">
        <v>209</v>
      </c>
      <c r="G6" s="40"/>
      <c r="H6" s="24" t="s">
        <v>263</v>
      </c>
      <c r="I6" s="27">
        <v>0.65400000000000003</v>
      </c>
      <c r="J6" s="40"/>
      <c r="K6" s="24" t="s">
        <v>183</v>
      </c>
      <c r="L6" s="27">
        <v>0.58200000000000007</v>
      </c>
      <c r="M6" s="41"/>
    </row>
    <row r="7" spans="1:13" x14ac:dyDescent="0.3">
      <c r="A7" s="39"/>
      <c r="B7" s="24" t="s">
        <v>199</v>
      </c>
      <c r="C7" s="52">
        <v>318</v>
      </c>
      <c r="D7" s="40"/>
      <c r="E7" s="24" t="s">
        <v>151</v>
      </c>
      <c r="F7" s="52">
        <v>166</v>
      </c>
      <c r="G7" s="40"/>
      <c r="H7" s="24" t="s">
        <v>199</v>
      </c>
      <c r="I7" s="27">
        <v>0.63600000000000001</v>
      </c>
      <c r="J7" s="40"/>
      <c r="K7" s="31" t="s">
        <v>151</v>
      </c>
      <c r="L7" s="27">
        <v>0.66799999999999993</v>
      </c>
      <c r="M7" s="41"/>
    </row>
    <row r="8" spans="1:13" x14ac:dyDescent="0.3">
      <c r="A8" s="39"/>
      <c r="B8" s="24" t="s">
        <v>119</v>
      </c>
      <c r="C8" s="52">
        <v>340</v>
      </c>
      <c r="D8" s="40"/>
      <c r="E8" s="24" t="s">
        <v>87</v>
      </c>
      <c r="F8" s="52">
        <v>223</v>
      </c>
      <c r="G8" s="40"/>
      <c r="H8" s="24" t="s">
        <v>119</v>
      </c>
      <c r="I8" s="27">
        <v>0.68</v>
      </c>
      <c r="J8" s="40"/>
      <c r="K8" s="24" t="s">
        <v>87</v>
      </c>
      <c r="L8" s="27">
        <v>0.55400000000000005</v>
      </c>
      <c r="M8" s="41"/>
    </row>
    <row r="9" spans="1:13" ht="15" thickBot="1" x14ac:dyDescent="0.35">
      <c r="A9" s="39"/>
      <c r="B9" s="25" t="s">
        <v>103</v>
      </c>
      <c r="C9" s="53">
        <v>371</v>
      </c>
      <c r="D9" s="40"/>
      <c r="E9" s="25" t="s">
        <v>39</v>
      </c>
      <c r="F9" s="53">
        <v>213</v>
      </c>
      <c r="G9" s="40"/>
      <c r="H9" s="25" t="s">
        <v>103</v>
      </c>
      <c r="I9" s="28">
        <v>0.74199999999999999</v>
      </c>
      <c r="J9" s="40"/>
      <c r="K9" s="25" t="s">
        <v>39</v>
      </c>
      <c r="L9" s="28">
        <v>0.57400000000000007</v>
      </c>
      <c r="M9" s="41"/>
    </row>
    <row r="10" spans="1:13" x14ac:dyDescent="0.3">
      <c r="A10" s="39"/>
      <c r="B10" s="40"/>
      <c r="C10" s="40"/>
      <c r="D10" s="40"/>
      <c r="E10" s="40"/>
      <c r="F10" s="40"/>
      <c r="G10" s="40"/>
      <c r="H10" s="40"/>
      <c r="I10" s="40"/>
      <c r="J10" s="40"/>
      <c r="K10" s="40"/>
      <c r="L10" s="40"/>
      <c r="M10" s="41"/>
    </row>
    <row r="11" spans="1:13" x14ac:dyDescent="0.3">
      <c r="A11" s="39"/>
      <c r="B11" s="40"/>
      <c r="C11" s="40"/>
      <c r="D11" s="40"/>
      <c r="E11" s="40"/>
      <c r="F11" s="40"/>
      <c r="G11" s="40"/>
      <c r="H11" s="40"/>
      <c r="I11" s="40"/>
      <c r="J11" s="40"/>
      <c r="K11" s="40"/>
      <c r="L11" s="40"/>
      <c r="M11" s="41"/>
    </row>
    <row r="12" spans="1:13" x14ac:dyDescent="0.3">
      <c r="A12" s="39"/>
      <c r="B12" s="40"/>
      <c r="C12" s="40"/>
      <c r="D12" s="40"/>
      <c r="E12" s="40"/>
      <c r="F12" s="40"/>
      <c r="G12" s="40"/>
      <c r="H12" s="40"/>
      <c r="I12" s="40"/>
      <c r="J12" s="40"/>
      <c r="K12" s="40"/>
      <c r="L12" s="40"/>
      <c r="M12" s="41"/>
    </row>
    <row r="13" spans="1:13" x14ac:dyDescent="0.3">
      <c r="A13" s="39"/>
      <c r="B13" s="40"/>
      <c r="C13" s="40"/>
      <c r="D13" s="40"/>
      <c r="E13" s="40"/>
      <c r="F13" s="40"/>
      <c r="G13" s="40"/>
      <c r="H13" s="40"/>
      <c r="I13" s="40"/>
      <c r="J13" s="40"/>
      <c r="K13" s="40"/>
      <c r="L13" s="40"/>
      <c r="M13" s="41"/>
    </row>
    <row r="14" spans="1:13" x14ac:dyDescent="0.3">
      <c r="A14" s="39"/>
      <c r="B14" s="40"/>
      <c r="C14" s="40"/>
      <c r="D14" s="40"/>
      <c r="E14" s="40"/>
      <c r="F14" s="40"/>
      <c r="G14" s="40"/>
      <c r="H14" s="40"/>
      <c r="I14" s="40"/>
      <c r="J14" s="40"/>
      <c r="K14" s="40"/>
      <c r="L14" s="40"/>
      <c r="M14" s="41"/>
    </row>
    <row r="15" spans="1:13" x14ac:dyDescent="0.3">
      <c r="A15" s="39"/>
      <c r="B15" s="40"/>
      <c r="C15" s="40"/>
      <c r="D15" s="40"/>
      <c r="E15" s="40"/>
      <c r="F15" s="40"/>
      <c r="G15" s="40"/>
      <c r="H15" s="40"/>
      <c r="I15" s="40"/>
      <c r="J15" s="40"/>
      <c r="K15" s="40"/>
      <c r="L15" s="40"/>
      <c r="M15" s="41"/>
    </row>
    <row r="16" spans="1:13" x14ac:dyDescent="0.3">
      <c r="A16" s="39"/>
      <c r="B16" s="40"/>
      <c r="C16" s="40"/>
      <c r="D16" s="40"/>
      <c r="E16" s="40"/>
      <c r="F16" s="40"/>
      <c r="G16" s="40"/>
      <c r="H16" s="40"/>
      <c r="I16" s="40"/>
      <c r="J16" s="40"/>
      <c r="K16" s="40"/>
      <c r="L16" s="40"/>
      <c r="M16" s="41"/>
    </row>
    <row r="17" spans="1:13" x14ac:dyDescent="0.3">
      <c r="A17" s="39"/>
      <c r="B17" s="40"/>
      <c r="C17" s="40"/>
      <c r="D17" s="40"/>
      <c r="E17" s="40"/>
      <c r="F17" s="40"/>
      <c r="G17" s="40"/>
      <c r="H17" s="40"/>
      <c r="I17" s="40"/>
      <c r="J17" s="40"/>
      <c r="K17" s="40"/>
      <c r="L17" s="40"/>
      <c r="M17" s="41"/>
    </row>
    <row r="18" spans="1:13" x14ac:dyDescent="0.3">
      <c r="A18" s="39"/>
      <c r="B18" s="40"/>
      <c r="C18" s="40"/>
      <c r="D18" s="40"/>
      <c r="E18" s="40"/>
      <c r="F18" s="40"/>
      <c r="G18" s="40"/>
      <c r="H18" s="40"/>
      <c r="I18" s="40"/>
      <c r="J18" s="40"/>
      <c r="K18" s="40"/>
      <c r="L18" s="40"/>
      <c r="M18" s="41"/>
    </row>
    <row r="19" spans="1:13" x14ac:dyDescent="0.3">
      <c r="A19" s="39"/>
      <c r="B19" s="40"/>
      <c r="C19" s="40"/>
      <c r="D19" s="40"/>
      <c r="E19" s="40"/>
      <c r="F19" s="40"/>
      <c r="G19" s="40"/>
      <c r="H19" s="40"/>
      <c r="I19" s="40"/>
      <c r="J19" s="40"/>
      <c r="K19" s="40"/>
      <c r="L19" s="40"/>
      <c r="M19" s="41"/>
    </row>
    <row r="20" spans="1:13" x14ac:dyDescent="0.3">
      <c r="A20" s="39"/>
      <c r="B20" s="40"/>
      <c r="C20" s="40"/>
      <c r="D20" s="40"/>
      <c r="E20" s="40"/>
      <c r="F20" s="40"/>
      <c r="G20" s="40"/>
      <c r="H20" s="40"/>
      <c r="I20" s="40"/>
      <c r="J20" s="40"/>
      <c r="K20" s="40"/>
      <c r="L20" s="40"/>
      <c r="M20" s="41"/>
    </row>
    <row r="21" spans="1:13" x14ac:dyDescent="0.3">
      <c r="A21" s="39"/>
      <c r="B21" s="40"/>
      <c r="C21" s="40"/>
      <c r="D21" s="40"/>
      <c r="E21" s="40"/>
      <c r="F21" s="40"/>
      <c r="G21" s="40"/>
      <c r="H21" s="40"/>
      <c r="I21" s="40"/>
      <c r="J21" s="40"/>
      <c r="K21" s="40"/>
      <c r="L21" s="40"/>
      <c r="M21" s="41"/>
    </row>
    <row r="22" spans="1:13" x14ac:dyDescent="0.3">
      <c r="A22" s="39"/>
      <c r="B22" s="40"/>
      <c r="C22" s="40"/>
      <c r="D22" s="40"/>
      <c r="E22" s="40"/>
      <c r="F22" s="40"/>
      <c r="G22" s="40"/>
      <c r="H22" s="40"/>
      <c r="I22" s="40"/>
      <c r="J22" s="40"/>
      <c r="K22" s="40"/>
      <c r="L22" s="40"/>
      <c r="M22" s="41"/>
    </row>
    <row r="23" spans="1:13" ht="15" thickBot="1" x14ac:dyDescent="0.35">
      <c r="A23" s="42"/>
      <c r="B23" s="43"/>
      <c r="C23" s="43"/>
      <c r="D23" s="43"/>
      <c r="E23" s="43"/>
      <c r="F23" s="43"/>
      <c r="G23" s="43"/>
      <c r="H23" s="43"/>
      <c r="I23" s="43"/>
      <c r="J23" s="43"/>
      <c r="K23" s="43"/>
      <c r="L23" s="43"/>
      <c r="M23" s="4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4097" r:id="rId8" name="Check Box 1">
              <controlPr defaultSize="0" autoFill="0" autoLine="0" autoPict="0" macro="[0]!SlicerConnection">
                <anchor moveWithCells="1">
                  <from>
                    <xdr:col>1</xdr:col>
                    <xdr:colOff>769620</xdr:colOff>
                    <xdr:row>2</xdr:row>
                    <xdr:rowOff>426720</xdr:rowOff>
                  </from>
                  <to>
                    <xdr:col>2</xdr:col>
                    <xdr:colOff>655320</xdr:colOff>
                    <xdr:row>2</xdr:row>
                    <xdr:rowOff>655320</xdr:rowOff>
                  </to>
                </anchor>
              </controlPr>
            </control>
          </mc:Choice>
        </mc:AlternateContent>
        <mc:AlternateContent xmlns:mc="http://schemas.openxmlformats.org/markup-compatibility/2006">
          <mc:Choice Requires="x14">
            <control shapeId="4098" r:id="rId9" name="Check Box 2">
              <controlPr defaultSize="0" autoFill="0" autoLine="0" autoPict="0" macro="[0]!SlicerConnection">
                <anchor moveWithCells="1">
                  <from>
                    <xdr:col>4</xdr:col>
                    <xdr:colOff>883920</xdr:colOff>
                    <xdr:row>2</xdr:row>
                    <xdr:rowOff>381000</xdr:rowOff>
                  </from>
                  <to>
                    <xdr:col>5</xdr:col>
                    <xdr:colOff>548640</xdr:colOff>
                    <xdr:row>2</xdr:row>
                    <xdr:rowOff>617220</xdr:rowOff>
                  </to>
                </anchor>
              </controlPr>
            </control>
          </mc:Choice>
        </mc:AlternateContent>
        <mc:AlternateContent xmlns:mc="http://schemas.openxmlformats.org/markup-compatibility/2006">
          <mc:Choice Requires="x14">
            <control shapeId="4099" r:id="rId10" name="Check Box 3">
              <controlPr defaultSize="0" autoFill="0" autoLine="0" autoPict="0" macro="[0]!SlicerConnection">
                <anchor moveWithCells="1">
                  <from>
                    <xdr:col>7</xdr:col>
                    <xdr:colOff>861060</xdr:colOff>
                    <xdr:row>2</xdr:row>
                    <xdr:rowOff>403860</xdr:rowOff>
                  </from>
                  <to>
                    <xdr:col>8</xdr:col>
                    <xdr:colOff>525780</xdr:colOff>
                    <xdr:row>2</xdr:row>
                    <xdr:rowOff>624840</xdr:rowOff>
                  </to>
                </anchor>
              </controlPr>
            </control>
          </mc:Choice>
        </mc:AlternateContent>
        <mc:AlternateContent xmlns:mc="http://schemas.openxmlformats.org/markup-compatibility/2006">
          <mc:Choice Requires="x14">
            <control shapeId="4100" r:id="rId11" name="Check Box 4">
              <controlPr defaultSize="0" autoFill="0" autoLine="0" autoPict="0" macro="[0]!SlicerConnection">
                <anchor moveWithCells="1">
                  <from>
                    <xdr:col>10</xdr:col>
                    <xdr:colOff>929640</xdr:colOff>
                    <xdr:row>2</xdr:row>
                    <xdr:rowOff>396240</xdr:rowOff>
                  </from>
                  <to>
                    <xdr:col>11</xdr:col>
                    <xdr:colOff>617220</xdr:colOff>
                    <xdr:row>2</xdr:row>
                    <xdr:rowOff>617220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DB2D550F-714D-4350-834F-E890B67DA322}">
  <ds:schemaRefs/>
</ds:datastoreItem>
</file>

<file path=customXml/itemProps2.xml><?xml version="1.0" encoding="utf-8"?>
<ds:datastoreItem xmlns:ds="http://schemas.openxmlformats.org/officeDocument/2006/customXml" ds:itemID="{1E9C0D43-48CC-4DE6-BDDC-8F3085C4CD8D}">
  <ds:schemaRefs/>
</ds:datastoreItem>
</file>

<file path=customXml/itemProps3.xml><?xml version="1.0" encoding="utf-8"?>
<ds:datastoreItem xmlns:ds="http://schemas.openxmlformats.org/officeDocument/2006/customXml" ds:itemID="{52D9682D-1FF8-465C-883A-A08CBC623E1A}">
  <ds:schemaRefs/>
</ds:datastoreItem>
</file>

<file path=customXml/itemProps4.xml><?xml version="1.0" encoding="utf-8"?>
<ds:datastoreItem xmlns:ds="http://schemas.openxmlformats.org/officeDocument/2006/customXml" ds:itemID="{0BA4687D-A08C-4B3B-8CDF-2D9610DBC65A}">
  <ds:schemaRefs/>
</ds:datastoreItem>
</file>

<file path=customXml/itemProps5.xml><?xml version="1.0" encoding="utf-8"?>
<ds:datastoreItem xmlns:ds="http://schemas.openxmlformats.org/officeDocument/2006/customXml" ds:itemID="{075645D7-DCE4-427F-95B7-D1F8FBDCB365}">
  <ds:schemaRefs/>
</ds:datastoreItem>
</file>

<file path=customXml/itemProps6.xml><?xml version="1.0" encoding="utf-8"?>
<ds:datastoreItem xmlns:ds="http://schemas.openxmlformats.org/officeDocument/2006/customXml" ds:itemID="{EE34EA56-2313-4CDC-A35F-AE64A772BA3F}">
  <ds:schemaRefs/>
</ds:datastoreItem>
</file>

<file path=customXml/itemProps7.xml><?xml version="1.0" encoding="utf-8"?>
<ds:datastoreItem xmlns:ds="http://schemas.openxmlformats.org/officeDocument/2006/customXml" ds:itemID="{C6E2B7EC-9C69-43F0-84CD-E4F6EFE70A9F}">
  <ds:schemaRefs/>
</ds:datastoreItem>
</file>

<file path=customXml/itemProps8.xml><?xml version="1.0" encoding="utf-8"?>
<ds:datastoreItem xmlns:ds="http://schemas.openxmlformats.org/officeDocument/2006/customXml" ds:itemID="{2FD16AC2-EB97-475E-9BBD-A1B51628B05A}">
  <ds:schemaRefs/>
</ds:datastoreItem>
</file>

<file path=customXml/itemProps9.xml><?xml version="1.0" encoding="utf-8"?>
<ds:datastoreItem xmlns:ds="http://schemas.openxmlformats.org/officeDocument/2006/customXml" ds:itemID="{E7CD4B05-BC68-4521-BD16-04B22EA51B81}">
  <ds:schemaRefs/>
</ds:datastoreItem>
</file>

<file path=customXml/itemProps10.xml><?xml version="1.0" encoding="utf-8"?>
<ds:datastoreItem xmlns:ds="http://schemas.openxmlformats.org/officeDocument/2006/customXml" ds:itemID="{22E35469-9FA7-4F21-932D-539033D51AB0}">
  <ds:schemaRefs/>
</ds:datastoreItem>
</file>

<file path=customXml/itemProps11.xml><?xml version="1.0" encoding="utf-8"?>
<ds:datastoreItem xmlns:ds="http://schemas.openxmlformats.org/officeDocument/2006/customXml" ds:itemID="{71186DDE-C6BF-4A9C-B290-C5E794EF1B87}">
  <ds:schemaRefs/>
</ds:datastoreItem>
</file>

<file path=customXml/itemProps12.xml><?xml version="1.0" encoding="utf-8"?>
<ds:datastoreItem xmlns:ds="http://schemas.openxmlformats.org/officeDocument/2006/customXml" ds:itemID="{2C1BC614-87A7-49DC-980B-2C8C35C87108}">
  <ds:schemaRefs/>
</ds:datastoreItem>
</file>

<file path=customXml/itemProps13.xml><?xml version="1.0" encoding="utf-8"?>
<ds:datastoreItem xmlns:ds="http://schemas.openxmlformats.org/officeDocument/2006/customXml" ds:itemID="{11813E5C-95F6-435E-A4CB-01A4F8B69372}">
  <ds:schemaRefs/>
</ds:datastoreItem>
</file>

<file path=customXml/itemProps14.xml><?xml version="1.0" encoding="utf-8"?>
<ds:datastoreItem xmlns:ds="http://schemas.openxmlformats.org/officeDocument/2006/customXml" ds:itemID="{37BC51B3-3014-459B-AE50-32CC0606530C}">
  <ds:schemaRefs/>
</ds:datastoreItem>
</file>

<file path=customXml/itemProps15.xml><?xml version="1.0" encoding="utf-8"?>
<ds:datastoreItem xmlns:ds="http://schemas.openxmlformats.org/officeDocument/2006/customXml" ds:itemID="{A60A25BA-766E-47B5-AB08-1A7A1A6B7A7F}">
  <ds:schemaRefs/>
</ds:datastoreItem>
</file>

<file path=customXml/itemProps16.xml><?xml version="1.0" encoding="utf-8"?>
<ds:datastoreItem xmlns:ds="http://schemas.openxmlformats.org/officeDocument/2006/customXml" ds:itemID="{F706DF75-5722-4622-AC46-56FE64B09060}">
  <ds:schemaRefs/>
</ds:datastoreItem>
</file>

<file path=customXml/itemProps17.xml><?xml version="1.0" encoding="utf-8"?>
<ds:datastoreItem xmlns:ds="http://schemas.openxmlformats.org/officeDocument/2006/customXml" ds:itemID="{E42F87D0-D041-4752-938D-75968882DBB8}">
  <ds:schemaRefs/>
</ds:datastoreItem>
</file>

<file path=customXml/itemProps18.xml><?xml version="1.0" encoding="utf-8"?>
<ds:datastoreItem xmlns:ds="http://schemas.openxmlformats.org/officeDocument/2006/customXml" ds:itemID="{C2BAD5C6-30E2-495C-80E6-13DE09210535}">
  <ds:schemaRefs/>
</ds:datastoreItem>
</file>

<file path=customXml/itemProps19.xml><?xml version="1.0" encoding="utf-8"?>
<ds:datastoreItem xmlns:ds="http://schemas.openxmlformats.org/officeDocument/2006/customXml" ds:itemID="{9B6E0C34-912D-4BDF-8A0B-B6771F3623C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Asmika Panchal</dc:creator>
  <cp:lastModifiedBy>Asmika Panchal</cp:lastModifiedBy>
  <dcterms:created xsi:type="dcterms:W3CDTF">2025-12-25T12:52:24Z</dcterms:created>
  <dcterms:modified xsi:type="dcterms:W3CDTF">2026-02-17T06:28:49Z</dcterms:modified>
</cp:coreProperties>
</file>